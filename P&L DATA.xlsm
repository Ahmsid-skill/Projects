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0" yWindow="0" windowWidth="20490" windowHeight="7650"/>
  </bookViews>
  <sheets>
    <sheet name="Index" sheetId="7" r:id="rId1"/>
    <sheet name="1.1 FY2016" sheetId="1" r:id="rId2"/>
    <sheet name="1.2 FY2017" sheetId="2" r:id="rId3"/>
    <sheet name="1.3 FY2018" sheetId="3" r:id="rId4"/>
    <sheet name="2.1 Database" sheetId="10" r:id="rId5"/>
    <sheet name="2.2 P&amp;L statement" sheetId="21" r:id="rId6"/>
    <sheet name="Stacked column" sheetId="29" r:id="rId7"/>
    <sheet name="Dougnut chart" sheetId="28" r:id="rId8"/>
    <sheet name="Area chart" sheetId="26" r:id="rId9"/>
  </sheets>
  <definedNames>
    <definedName name="_xlnm._FilterDatabase" localSheetId="1" hidden="1">'1.1 FY2016'!$C$4:$G$61</definedName>
    <definedName name="_xlnm._FilterDatabase" localSheetId="2" hidden="1">'1.2 FY2017'!$C$4:$G$86</definedName>
    <definedName name="_xlnm._FilterDatabase" localSheetId="3" hidden="1">'1.3 FY2018'!$C$4:$G$78</definedName>
    <definedName name="_xlnm._FilterDatabase" localSheetId="4" hidden="1">'2.1 Database'!$B$3:$H$109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21" l="1"/>
  <c r="D7" i="21"/>
  <c r="E7" i="21"/>
  <c r="D23" i="21" l="1"/>
  <c r="E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E17" i="21" l="1"/>
  <c r="D17" i="2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D19" i="21" l="1"/>
  <c r="D29" i="21"/>
  <c r="E19" i="21"/>
  <c r="E29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17" i="21" l="1"/>
  <c r="E22" i="21"/>
  <c r="E24" i="21" s="1"/>
  <c r="E30" i="21"/>
  <c r="D22" i="21"/>
  <c r="D24" i="21" s="1"/>
  <c r="D30" i="21"/>
  <c r="C19" i="21" l="1"/>
  <c r="C29" i="21"/>
  <c r="C22" i="21" l="1"/>
  <c r="C24" i="21" s="1"/>
  <c r="C30" i="21"/>
</calcChain>
</file>

<file path=xl/sharedStrings.xml><?xml version="1.0" encoding="utf-8"?>
<sst xmlns="http://schemas.openxmlformats.org/spreadsheetml/2006/main" count="972" uniqueCount="247">
  <si>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</si>
  <si>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</si>
  <si>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</si>
  <si>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</si>
  <si>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</si>
  <si>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</si>
  <si>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</si>
  <si>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</si>
  <si>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</si>
  <si>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</si>
  <si>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</si>
  <si>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</si>
  <si>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</si>
  <si>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</si>
  <si>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</si>
  <si>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</si>
  <si>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</si>
  <si>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</si>
  <si>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</si>
  <si>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</si>
  <si>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</si>
  <si>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</si>
  <si>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</si>
  <si>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</si>
  <si>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</si>
  <si>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</si>
  <si>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</si>
  <si>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</si>
  <si>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</si>
  <si>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</si>
  <si>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</si>
  <si>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</si>
  <si>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</si>
  <si>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</si>
  <si>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</si>
  <si>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</si>
  <si>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</si>
  <si>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</si>
  <si>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</si>
  <si>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</si>
  <si>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</si>
  <si>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</si>
  <si>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</si>
  <si>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</si>
  <si>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</si>
  <si>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</si>
  <si>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</si>
  <si>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</si>
  <si>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</si>
  <si>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</si>
  <si>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</si>
  <si>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</si>
  <si>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</si>
  <si>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</si>
  <si>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</si>
  <si>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</si>
  <si>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</si>
  <si>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</si>
  <si>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</si>
  <si>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</si>
  <si>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</si>
  <si>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</si>
  <si>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</si>
  <si>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</si>
  <si>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</si>
  <si>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</si>
  <si>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</si>
  <si>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</si>
  <si>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</si>
  <si>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</si>
  <si>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</si>
  <si>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</si>
  <si>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</si>
  <si>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</si>
  <si>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</si>
  <si>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</si>
  <si>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</si>
  <si>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</si>
  <si>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</si>
  <si>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</si>
  <si>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</si>
  <si>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</si>
  <si>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</si>
  <si>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</si>
  <si>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</si>
  <si>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</si>
  <si>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</si>
  <si>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</si>
  <si>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</si>
  <si>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</si>
  <si>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</si>
  <si>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</si>
  <si>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</si>
  <si>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</si>
  <si>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</si>
  <si>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</si>
  <si>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</si>
  <si>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</si>
  <si>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</si>
  <si>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</si>
  <si>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</si>
  <si>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</si>
  <si>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</si>
  <si>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</si>
  <si>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</si>
  <si>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</si>
  <si>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</si>
  <si>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</si>
  <si>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</si>
  <si>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</si>
  <si>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</si>
  <si>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</si>
  <si>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</si>
  <si>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</si>
  <si>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</si>
  <si>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</si>
  <si>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</si>
  <si>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</si>
  <si>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</si>
  <si>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</si>
  <si>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</si>
  <si>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</si>
  <si>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</si>
  <si>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</si>
  <si>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</si>
  <si>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</si>
  <si>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</si>
  <si>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</si>
  <si>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</si>
  <si>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</si>
  <si>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</si>
  <si>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</si>
  <si>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</si>
  <si>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</si>
  <si>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</si>
  <si>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</si>
  <si>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</si>
  <si>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</si>
  <si>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</si>
  <si>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</si>
  <si>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</si>
  <si>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</si>
  <si>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</si>
  <si>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</si>
  <si>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</si>
  <si>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</si>
  <si>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</si>
  <si>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</si>
  <si>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</si>
  <si>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</si>
  <si>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</si>
  <si>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</si>
  <si>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</si>
  <si>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</si>
  <si>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</si>
  <si>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</si>
  <si>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</si>
  <si>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</si>
  <si>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</si>
  <si>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</si>
  <si>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</si>
  <si>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</si>
  <si>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</si>
  <si>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</si>
  <si>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</si>
  <si>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</si>
  <si>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</si>
  <si>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</si>
  <si>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</si>
  <si>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</si>
  <si>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</si>
  <si>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</si>
  <si>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</si>
  <si>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</si>
  <si>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</si>
  <si>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</si>
  <si>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</si>
  <si>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</si>
  <si>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</si>
  <si>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</si>
  <si>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</si>
  <si>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</si>
  <si>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</si>
  <si>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</si>
  <si>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</si>
  <si>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</si>
  <si>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</si>
  <si>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</si>
  <si>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</si>
  <si>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</si>
  <si>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</si>
  <si>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</si>
  <si>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</si>
  <si>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</si>
  <si>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</si>
  <si>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</si>
  <si>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</si>
  <si>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</si>
  <si>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</si>
  <si>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</si>
  <si>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</si>
  <si>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</si>
  <si>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</si>
  <si>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</si>
  <si>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</si>
  <si>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</si>
  <si>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</si>
  <si>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</si>
  <si>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</si>
  <si>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</si>
  <si>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</si>
  <si>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</si>
  <si>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</si>
  <si>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</si>
  <si>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</si>
  <si>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</si>
  <si>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</si>
  <si>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</si>
  <si>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</si>
  <si>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</si>
  <si>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</si>
  <si>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</si>
  <si>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</si>
  <si>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</si>
  <si>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</si>
  <si>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</si>
  <si>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</si>
  <si>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</si>
  <si>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</si>
  <si>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</si>
  <si>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</si>
  <si>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</si>
  <si>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</si>
  <si>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</si>
  <si>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</si>
  <si>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 xml:space="preserve">Total Revenue </t>
  </si>
  <si>
    <t>Gross Margin</t>
  </si>
  <si>
    <t>EBITDA</t>
  </si>
  <si>
    <t>EBIT</t>
  </si>
  <si>
    <t>EBT</t>
  </si>
  <si>
    <t>FY 2016</t>
  </si>
  <si>
    <t>FY 2017</t>
  </si>
  <si>
    <t>FY 2018</t>
  </si>
  <si>
    <t>KPIs</t>
  </si>
  <si>
    <t>Dollars In Millions</t>
  </si>
  <si>
    <t>Stacked Coloumn Chart</t>
  </si>
  <si>
    <t>Revenues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</si>
</sst>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thick">
        <color theme="3" tint="-0.2499465926084170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3" tint="-0.24994659260841701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 style="medium">
        <color theme="3" tint="-0.24994659260841701"/>
      </bottom>
      <diagonal/>
    </border>
    <border>
      <left/>
      <right/>
      <top style="medium">
        <color theme="3" tint="-0.24994659260841701"/>
      </top>
      <bottom style="medium">
        <color theme="3" tint="-0.2499465926084170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43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1" fillId="0" borderId="0" applyFont="0" applyFill="0" applyBorder="0" applyAlignment="0" applyProtection="0"/>
  </cellStyleXfs>
  <cellXfs count="5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3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4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5" fillId="2" borderId="2" xfId="0" applyFont="1" applyFill="1" applyBorder="1"/>
    <xf numFmtId="0" fontId="15" fillId="2" borderId="2" xfId="0" applyFont="1" applyFill="1" applyBorder="1" applyAlignment="1">
      <alignment horizontal="right"/>
    </xf>
    <xf numFmtId="0" fontId="3" fillId="2" borderId="2" xfId="0" applyFont="1" applyFill="1" applyBorder="1" applyAlignment="1">
      <alignment horizontal="left"/>
    </xf>
    <xf numFmtId="0" fontId="18" fillId="0" borderId="0" xfId="0" applyFont="1"/>
    <xf numFmtId="0" fontId="0" fillId="2" borderId="3" xfId="0" applyFill="1" applyBorder="1"/>
    <xf numFmtId="0" fontId="17" fillId="2" borderId="3" xfId="0" applyFont="1" applyFill="1" applyBorder="1"/>
    <xf numFmtId="0" fontId="1" fillId="2" borderId="4" xfId="0" applyFont="1" applyFill="1" applyBorder="1"/>
    <xf numFmtId="0" fontId="0" fillId="0" borderId="4" xfId="0" applyBorder="1"/>
    <xf numFmtId="0" fontId="1" fillId="2" borderId="5" xfId="0" applyFont="1" applyFill="1" applyBorder="1"/>
    <xf numFmtId="0" fontId="0" fillId="0" borderId="5" xfId="0" applyBorder="1"/>
    <xf numFmtId="0" fontId="7" fillId="5" borderId="6" xfId="0" applyFont="1" applyFill="1" applyBorder="1"/>
    <xf numFmtId="0" fontId="16" fillId="5" borderId="7" xfId="0" applyFont="1" applyFill="1" applyBorder="1"/>
    <xf numFmtId="0" fontId="1" fillId="2" borderId="7" xfId="0" applyFont="1" applyFill="1" applyBorder="1"/>
    <xf numFmtId="0" fontId="0" fillId="0" borderId="7" xfId="0" applyBorder="1"/>
    <xf numFmtId="0" fontId="0" fillId="0" borderId="8" xfId="0" applyBorder="1"/>
    <xf numFmtId="0" fontId="19" fillId="2" borderId="0" xfId="0" applyFont="1" applyFill="1"/>
    <xf numFmtId="0" fontId="19" fillId="2" borderId="8" xfId="0" applyFont="1" applyFill="1" applyBorder="1"/>
    <xf numFmtId="2" fontId="0" fillId="0" borderId="0" xfId="0" applyNumberFormat="1"/>
    <xf numFmtId="2" fontId="0" fillId="2" borderId="5" xfId="0" applyNumberFormat="1" applyFont="1" applyFill="1" applyBorder="1"/>
    <xf numFmtId="2" fontId="0" fillId="0" borderId="5" xfId="0" applyNumberFormat="1" applyBorder="1"/>
    <xf numFmtId="2" fontId="16" fillId="5" borderId="7" xfId="0" applyNumberFormat="1" applyFont="1" applyFill="1" applyBorder="1"/>
    <xf numFmtId="2" fontId="0" fillId="0" borderId="7" xfId="0" applyNumberFormat="1" applyBorder="1"/>
    <xf numFmtId="2" fontId="0" fillId="0" borderId="8" xfId="0" applyNumberFormat="1" applyBorder="1"/>
    <xf numFmtId="0" fontId="17" fillId="6" borderId="0" xfId="0" applyFont="1" applyFill="1"/>
    <xf numFmtId="0" fontId="0" fillId="6" borderId="0" xfId="0" applyFill="1"/>
    <xf numFmtId="9" fontId="0" fillId="6" borderId="0" xfId="4" applyFont="1" applyFill="1"/>
    <xf numFmtId="0" fontId="21" fillId="0" borderId="0" xfId="0" applyFont="1"/>
    <xf numFmtId="0" fontId="20" fillId="6" borderId="0" xfId="0" applyFont="1" applyFill="1"/>
    <xf numFmtId="0" fontId="1" fillId="6" borderId="9" xfId="0" applyFont="1" applyFill="1" applyBorder="1"/>
    <xf numFmtId="2" fontId="1" fillId="6" borderId="9" xfId="4" applyNumberFormat="1" applyFont="1" applyFill="1" applyBorder="1"/>
    <xf numFmtId="9" fontId="1" fillId="6" borderId="9" xfId="4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'Stacked column'!$A$4:$B$4</c:f>
              <c:strCache>
                <c:ptCount val="2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'Stacked column'!$C$3:$E$3</c:f>
              <c:strCache>
                <c:ptCount val="3"/>
                <c:pt idx="0">
                  <c:v>FY 2016</c:v>
                </c:pt>
                <c:pt idx="1">
                  <c:v>FY 2017</c:v>
                </c:pt>
                <c:pt idx="2">
                  <c:v>FY 2018</c:v>
                </c:pt>
              </c:strCache>
            </c:strRef>
          </c:cat>
          <c:val>
            <c:numRef>
              <c:f>'Stacked column'!$C$4:$E$4</c:f>
              <c:numCache>
                <c:formatCode>0.00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08-4BF5-B59B-EF96F30BB7A7}"/>
            </c:ext>
          </c:extLst>
        </c:ser>
        <c:ser>
          <c:idx val="1"/>
          <c:order val="1"/>
          <c:tx>
            <c:strRef>
              <c:f>'Stacked column'!$A$5:$B$5</c:f>
              <c:strCache>
                <c:ptCount val="2"/>
                <c:pt idx="0">
                  <c:v>Other revenues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'Stacked column'!$C$3:$E$3</c:f>
              <c:strCache>
                <c:ptCount val="3"/>
                <c:pt idx="0">
                  <c:v>FY 2016</c:v>
                </c:pt>
                <c:pt idx="1">
                  <c:v>FY 2017</c:v>
                </c:pt>
                <c:pt idx="2">
                  <c:v>FY 2018</c:v>
                </c:pt>
              </c:strCache>
            </c:strRef>
          </c:cat>
          <c:val>
            <c:numRef>
              <c:f>'Stacked column'!$C$5:$E$5</c:f>
              <c:numCache>
                <c:formatCode>0.00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08-4BF5-B59B-EF96F30BB7A7}"/>
            </c:ext>
          </c:extLst>
        </c:ser>
        <c:ser>
          <c:idx val="2"/>
          <c:order val="2"/>
          <c:tx>
            <c:strRef>
              <c:f>'Stacked column'!$A$6:$B$6</c:f>
              <c:strCache>
                <c:ptCount val="2"/>
                <c:pt idx="0">
                  <c:v>Recharges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'Stacked column'!$C$3:$E$3</c:f>
              <c:strCache>
                <c:ptCount val="3"/>
                <c:pt idx="0">
                  <c:v>FY 2016</c:v>
                </c:pt>
                <c:pt idx="1">
                  <c:v>FY 2017</c:v>
                </c:pt>
                <c:pt idx="2">
                  <c:v>FY 2018</c:v>
                </c:pt>
              </c:strCache>
            </c:strRef>
          </c:cat>
          <c:val>
            <c:numRef>
              <c:f>'Stacked column'!$C$6:$E$6</c:f>
              <c:numCache>
                <c:formatCode>0.00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8-4BF5-B59B-EF96F30BB7A7}"/>
            </c:ext>
          </c:extLst>
        </c:ser>
        <c:ser>
          <c:idx val="3"/>
          <c:order val="3"/>
          <c:tx>
            <c:strRef>
              <c:f>'Stacked column'!$A$7:$B$7</c:f>
              <c:strCache>
                <c:ptCount val="2"/>
                <c:pt idx="0">
                  <c:v>Gross Margin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'Stacked column'!$C$3:$E$3</c:f>
              <c:strCache>
                <c:ptCount val="3"/>
                <c:pt idx="0">
                  <c:v>FY 2016</c:v>
                </c:pt>
                <c:pt idx="1">
                  <c:v>FY 2017</c:v>
                </c:pt>
                <c:pt idx="2">
                  <c:v>FY 2018</c:v>
                </c:pt>
              </c:strCache>
            </c:strRef>
          </c:cat>
          <c:val>
            <c:numRef>
              <c:f>'Stacked column'!$C$7:$E$7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08-4BF5-B59B-EF96F30BB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6058063"/>
        <c:axId val="1736055567"/>
      </c:barChart>
      <c:catAx>
        <c:axId val="173605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055567"/>
        <c:crosses val="autoZero"/>
        <c:auto val="1"/>
        <c:lblAlgn val="ctr"/>
        <c:lblOffset val="100"/>
        <c:noMultiLvlLbl val="0"/>
      </c:catAx>
      <c:valAx>
        <c:axId val="1736055567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0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Breakdown of revenue in FY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2-5BB3-446D-B9AC-3B0DC34F74D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5BB3-446D-B9AC-3B0DC34F74D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5BB3-446D-B9AC-3B0DC34F74D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B3-446D-B9AC-3B0DC34F74DB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B3-446D-B9AC-3B0DC34F74DB}"/>
                </c:ext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B3-446D-B9AC-3B0DC34F74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'Dougnut chart'!$A$4:$A$6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'Dougnut chart'!$E$4:$E$6</c:f>
              <c:numCache>
                <c:formatCode>0.00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3-446D-B9AC-3B0DC34F7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FY16-FY</a:t>
            </a:r>
            <a:r>
              <a:rPr lang="en-US" sz="1100" b="1" baseline="0"/>
              <a:t>18 Revenue and Gross Margin%</a:t>
            </a:r>
            <a:endParaRPr lang="en-US" sz="1100" b="1"/>
          </a:p>
        </c:rich>
      </c:tx>
      <c:layout>
        <c:manualLayout>
          <c:xMode val="edge"/>
          <c:yMode val="edge"/>
          <c:x val="2.3048556430446177E-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'Area chart'!$A$4:$B$4</c:f>
              <c:strCache>
                <c:ptCount val="2"/>
                <c:pt idx="0">
                  <c:v>Revenues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'Area chart'!$C$3:$E$3</c:f>
              <c:strCache>
                <c:ptCount val="3"/>
                <c:pt idx="0">
                  <c:v>FY 2016</c:v>
                </c:pt>
                <c:pt idx="1">
                  <c:v>FY 2017</c:v>
                </c:pt>
                <c:pt idx="2">
                  <c:v>FY 2018</c:v>
                </c:pt>
              </c:strCache>
            </c:strRef>
          </c:cat>
          <c:val>
            <c:numRef>
              <c:f>'Area chart'!$C$4:$E$4</c:f>
              <c:numCache>
                <c:formatCode>0.00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3-4AAF-9027-4494C0130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6435903"/>
        <c:axId val="1736437567"/>
      </c:areaChart>
      <c:lineChart>
        <c:grouping val="stacked"/>
        <c:varyColors val="0"/>
        <c:ser>
          <c:idx val="1"/>
          <c:order val="1"/>
          <c:tx>
            <c:strRef>
              <c:f>'Area chart'!$A$5:$B$5</c:f>
              <c:strCache>
                <c:ptCount val="2"/>
                <c:pt idx="0">
                  <c:v>Gross Margin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'Area chart'!$C$3:$E$3</c:f>
              <c:strCache>
                <c:ptCount val="3"/>
                <c:pt idx="0">
                  <c:v>FY 2016</c:v>
                </c:pt>
                <c:pt idx="1">
                  <c:v>FY 2017</c:v>
                </c:pt>
                <c:pt idx="2">
                  <c:v>FY 2018</c:v>
                </c:pt>
              </c:strCache>
            </c:strRef>
          </c:cat>
          <c:val>
            <c:numRef>
              <c:f>'Area chart'!$C$5:$E$5</c:f>
              <c:numCache>
                <c:formatCode>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93-4AAF-9027-4494C0130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383183"/>
        <c:axId val="1764389007"/>
      </c:lineChart>
      <c:catAx>
        <c:axId val="1736435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37567"/>
        <c:crosses val="autoZero"/>
        <c:auto val="1"/>
        <c:lblAlgn val="ctr"/>
        <c:lblOffset val="100"/>
        <c:noMultiLvlLbl val="0"/>
      </c:catAx>
      <c:valAx>
        <c:axId val="1736437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35903"/>
        <c:crosses val="autoZero"/>
        <c:crossBetween val="between"/>
      </c:valAx>
      <c:valAx>
        <c:axId val="176438900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383183"/>
        <c:crosses val="max"/>
        <c:crossBetween val="between"/>
      </c:valAx>
      <c:catAx>
        <c:axId val="17643831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4389007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2"/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4</xdr:row>
      <xdr:rowOff>152400</xdr:rowOff>
    </xdr:from>
    <xdr:to>
      <xdr:col>12</xdr:col>
      <xdr:colOff>581025</xdr:colOff>
      <xdr:row>19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152400</xdr:rowOff>
    </xdr:from>
    <xdr:to>
      <xdr:col>12</xdr:col>
      <xdr:colOff>457200</xdr:colOff>
      <xdr:row>19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628650</xdr:colOff>
      <xdr:row>6</xdr:row>
      <xdr:rowOff>76200</xdr:rowOff>
    </xdr:from>
    <xdr:ext cx="184731" cy="264560"/>
    <xdr:sp macro="" textlink="">
      <xdr:nvSpPr>
        <xdr:cNvPr id="4" name="TextBox 3"/>
        <xdr:cNvSpPr txBox="1"/>
      </xdr:nvSpPr>
      <xdr:spPr>
        <a:xfrm>
          <a:off x="9725025" y="122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</xdr:row>
      <xdr:rowOff>114300</xdr:rowOff>
    </xdr:from>
    <xdr:to>
      <xdr:col>12</xdr:col>
      <xdr:colOff>457200</xdr:colOff>
      <xdr:row>19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16"/>
  <sheetViews>
    <sheetView tabSelected="1" workbookViewId="0"/>
  </sheetViews>
  <sheetFormatPr defaultColWidth="9.125" defaultRowHeight="12" x14ac:dyDescent="0.2"/>
  <cols>
    <col min="1" max="1" width="2" style="1" customWidth="1"/>
    <col min="2" max="2" width="10" style="1" customWidth="1"/>
    <col min="3" max="3" width="34.125" style="1" bestFit="1" customWidth="1"/>
    <col min="4" max="16384" width="9.125" style="1"/>
  </cols>
  <sheetData>
    <row r="1" spans="2:3" ht="15.75" x14ac:dyDescent="0.25">
      <c r="B1" s="2" t="s">
        <v>104</v>
      </c>
    </row>
    <row r="2" spans="2:3" x14ac:dyDescent="0.2">
      <c r="B2" s="5" t="s">
        <v>55</v>
      </c>
    </row>
    <row r="4" spans="2:3" ht="12.75" thickBot="1" x14ac:dyDescent="0.25">
      <c r="B4" s="10" t="s">
        <v>56</v>
      </c>
      <c r="C4" s="10" t="s">
        <v>57</v>
      </c>
    </row>
    <row r="5" spans="2:3" x14ac:dyDescent="0.2">
      <c r="B5" s="6">
        <v>1</v>
      </c>
      <c r="C5" s="11" t="s">
        <v>58</v>
      </c>
    </row>
    <row r="6" spans="2:3" x14ac:dyDescent="0.2">
      <c r="B6" s="8">
        <v>2</v>
      </c>
      <c r="C6" s="9" t="s">
        <v>59</v>
      </c>
    </row>
    <row r="7" spans="2:3" x14ac:dyDescent="0.2">
      <c r="B7" s="6">
        <v>3</v>
      </c>
      <c r="C7" s="18" t="s">
        <v>105</v>
      </c>
    </row>
    <row r="8" spans="2:3" x14ac:dyDescent="0.2">
      <c r="B8" s="6">
        <v>4</v>
      </c>
      <c r="C8" s="18" t="s">
        <v>106</v>
      </c>
    </row>
    <row r="9" spans="2:3" x14ac:dyDescent="0.2">
      <c r="B9" s="6">
        <v>5</v>
      </c>
      <c r="C9" s="18" t="s">
        <v>107</v>
      </c>
    </row>
    <row r="10" spans="2:3" x14ac:dyDescent="0.2">
      <c r="B10" s="8">
        <v>6</v>
      </c>
      <c r="C10" s="9" t="s">
        <v>60</v>
      </c>
    </row>
    <row r="11" spans="2:3" x14ac:dyDescent="0.2">
      <c r="B11" s="6">
        <v>7</v>
      </c>
      <c r="C11" s="11" t="s">
        <v>89</v>
      </c>
    </row>
    <row r="12" spans="2:3" x14ac:dyDescent="0.2">
      <c r="B12" s="6">
        <v>8</v>
      </c>
      <c r="C12" s="11" t="s">
        <v>90</v>
      </c>
    </row>
    <row r="13" spans="2:3" x14ac:dyDescent="0.2">
      <c r="B13" s="7">
        <v>19</v>
      </c>
      <c r="C13" s="9" t="s">
        <v>91</v>
      </c>
    </row>
    <row r="14" spans="2:3" x14ac:dyDescent="0.2">
      <c r="B14" s="6">
        <v>20</v>
      </c>
      <c r="C14" s="11" t="s">
        <v>92</v>
      </c>
    </row>
    <row r="15" spans="2:3" x14ac:dyDescent="0.2">
      <c r="B15" s="6">
        <v>21</v>
      </c>
      <c r="C15" s="11" t="s">
        <v>93</v>
      </c>
    </row>
    <row r="16" spans="2:3" x14ac:dyDescent="0.2">
      <c r="B16" s="6">
        <v>22</v>
      </c>
      <c r="C16" s="11" t="s">
        <v>94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G11" sqref="G11"/>
    </sheetView>
  </sheetViews>
  <sheetFormatPr defaultColWidth="9.125" defaultRowHeight="15" x14ac:dyDescent="0.25"/>
  <cols>
    <col min="1" max="1" width="2" style="1" customWidth="1"/>
    <col min="2" max="2" width="11" style="1" bestFit="1" customWidth="1"/>
    <col min="3" max="3" width="30" style="1" customWidth="1"/>
    <col min="4" max="4" width="23.875" style="1" bestFit="1" customWidth="1"/>
    <col min="5" max="5" width="36.5" style="1" bestFit="1" customWidth="1"/>
    <col min="6" max="6" width="11.625" style="1" bestFit="1" customWidth="1"/>
    <col min="7" max="7" width="14" style="1" bestFit="1" customWidth="1"/>
    <col min="9" max="16384" width="9.125" style="1"/>
  </cols>
  <sheetData>
    <row r="1" spans="2:7" ht="15.75" x14ac:dyDescent="0.25">
      <c r="C1" s="2" t="s">
        <v>108</v>
      </c>
    </row>
    <row r="4" spans="2:7" x14ac:dyDescent="0.25">
      <c r="B4" s="1" t="s">
        <v>111</v>
      </c>
      <c r="C4" s="19" t="s">
        <v>95</v>
      </c>
      <c r="D4" s="19" t="s">
        <v>29</v>
      </c>
      <c r="E4" s="19" t="s">
        <v>96</v>
      </c>
      <c r="F4" s="19" t="s">
        <v>97</v>
      </c>
      <c r="G4" s="19" t="s">
        <v>98</v>
      </c>
    </row>
    <row r="5" spans="2:7" x14ac:dyDescent="0.25">
      <c r="B5" s="1" t="s">
        <v>112</v>
      </c>
      <c r="C5" s="19" t="s">
        <v>62</v>
      </c>
      <c r="D5" s="24">
        <v>111111</v>
      </c>
      <c r="E5" s="19" t="s">
        <v>99</v>
      </c>
      <c r="F5" s="16">
        <v>-14500341</v>
      </c>
      <c r="G5" s="20">
        <v>2001110000</v>
      </c>
    </row>
    <row r="6" spans="2:7" x14ac:dyDescent="0.25">
      <c r="B6" s="1" t="s">
        <v>113</v>
      </c>
      <c r="C6" s="19" t="s">
        <v>63</v>
      </c>
      <c r="D6" s="24">
        <v>111111</v>
      </c>
      <c r="E6" s="19" t="s">
        <v>99</v>
      </c>
      <c r="F6" s="16">
        <v>-4794856.1919999998</v>
      </c>
      <c r="G6" s="20">
        <v>2001190000</v>
      </c>
    </row>
    <row r="7" spans="2:7" x14ac:dyDescent="0.25">
      <c r="B7" s="1" t="s">
        <v>114</v>
      </c>
      <c r="C7" s="19" t="s">
        <v>64</v>
      </c>
      <c r="D7" s="24">
        <v>1009</v>
      </c>
      <c r="E7" s="19" t="s">
        <v>33</v>
      </c>
      <c r="F7" s="16">
        <v>-154890.4</v>
      </c>
      <c r="G7" s="20">
        <v>2020000000</v>
      </c>
    </row>
    <row r="8" spans="2:7" x14ac:dyDescent="0.25">
      <c r="B8" s="1" t="s">
        <v>115</v>
      </c>
      <c r="C8" s="19" t="s">
        <v>64</v>
      </c>
      <c r="D8" s="24">
        <v>1007</v>
      </c>
      <c r="E8" s="19" t="s">
        <v>35</v>
      </c>
      <c r="F8" s="16">
        <v>-1180894.0520000001</v>
      </c>
      <c r="G8" s="20">
        <v>2020000000</v>
      </c>
    </row>
    <row r="9" spans="2:7" x14ac:dyDescent="0.25">
      <c r="B9" s="1" t="s">
        <v>116</v>
      </c>
      <c r="C9" s="19" t="s">
        <v>64</v>
      </c>
      <c r="D9" s="24">
        <v>1008</v>
      </c>
      <c r="E9" s="19" t="s">
        <v>37</v>
      </c>
      <c r="F9" s="16">
        <v>-793079.51199999999</v>
      </c>
      <c r="G9" s="20">
        <v>2020000000</v>
      </c>
    </row>
    <row r="10" spans="2:7" x14ac:dyDescent="0.25">
      <c r="B10" s="1" t="s">
        <v>117</v>
      </c>
      <c r="C10" s="19" t="s">
        <v>64</v>
      </c>
      <c r="D10" s="24">
        <v>111101</v>
      </c>
      <c r="E10" s="19" t="s">
        <v>0</v>
      </c>
      <c r="F10" s="16">
        <v>-2277197.6</v>
      </c>
      <c r="G10" s="20">
        <v>2020000000</v>
      </c>
    </row>
    <row r="11" spans="2:7" x14ac:dyDescent="0.25">
      <c r="B11" s="1" t="s">
        <v>118</v>
      </c>
      <c r="C11" s="19" t="s">
        <v>100</v>
      </c>
      <c r="D11" s="24">
        <v>111111</v>
      </c>
      <c r="E11" s="19" t="s">
        <v>99</v>
      </c>
      <c r="F11" s="16">
        <v>4428911.7640000004</v>
      </c>
      <c r="G11" s="20">
        <v>2021900000</v>
      </c>
    </row>
    <row r="12" spans="2:7" x14ac:dyDescent="0.25">
      <c r="B12" s="1" t="s">
        <v>119</v>
      </c>
      <c r="C12" s="19" t="s">
        <v>66</v>
      </c>
      <c r="D12" s="24">
        <v>111111</v>
      </c>
      <c r="E12" s="19" t="s">
        <v>99</v>
      </c>
      <c r="F12" s="16">
        <v>16977.628000000001</v>
      </c>
      <c r="G12" s="20">
        <v>2024080000</v>
      </c>
    </row>
    <row r="13" spans="2:7" x14ac:dyDescent="0.25">
      <c r="B13" s="1" t="s">
        <v>120</v>
      </c>
      <c r="C13" s="19" t="s">
        <v>65</v>
      </c>
      <c r="D13" s="24">
        <v>88</v>
      </c>
      <c r="E13" s="19" t="s">
        <v>30</v>
      </c>
      <c r="F13" s="16">
        <v>2245437.54</v>
      </c>
      <c r="G13" s="20">
        <v>2024090000</v>
      </c>
    </row>
    <row r="14" spans="2:7" x14ac:dyDescent="0.25">
      <c r="B14" s="1" t="s">
        <v>121</v>
      </c>
      <c r="C14" s="19" t="s">
        <v>65</v>
      </c>
      <c r="D14" s="24">
        <v>111111</v>
      </c>
      <c r="E14" s="19" t="s">
        <v>99</v>
      </c>
      <c r="F14" s="16">
        <v>16605.634000000002</v>
      </c>
      <c r="G14" s="20">
        <v>2024090000</v>
      </c>
    </row>
    <row r="15" spans="2:7" x14ac:dyDescent="0.25">
      <c r="B15" s="1" t="s">
        <v>122</v>
      </c>
      <c r="C15" s="19" t="s">
        <v>1</v>
      </c>
      <c r="D15" s="24">
        <v>111111</v>
      </c>
      <c r="E15" s="19" t="s">
        <v>99</v>
      </c>
      <c r="F15" s="16">
        <v>4683394.0460000001</v>
      </c>
      <c r="G15" s="20">
        <v>2041000000</v>
      </c>
    </row>
    <row r="16" spans="2:7" x14ac:dyDescent="0.25">
      <c r="B16" s="1" t="s">
        <v>123</v>
      </c>
      <c r="C16" s="19" t="s">
        <v>67</v>
      </c>
      <c r="D16" s="24">
        <v>111101</v>
      </c>
      <c r="E16" s="19" t="s">
        <v>0</v>
      </c>
      <c r="F16" s="16">
        <v>1143051.5760000001</v>
      </c>
      <c r="G16" s="20">
        <v>2042000000</v>
      </c>
    </row>
    <row r="17" spans="2:7" x14ac:dyDescent="0.25">
      <c r="B17" s="1" t="s">
        <v>124</v>
      </c>
      <c r="C17" s="19" t="s">
        <v>67</v>
      </c>
      <c r="D17" s="24">
        <v>88</v>
      </c>
      <c r="E17" s="19" t="s">
        <v>30</v>
      </c>
      <c r="F17" s="16">
        <v>239379.61800000002</v>
      </c>
      <c r="G17" s="20">
        <v>2042000000</v>
      </c>
    </row>
    <row r="18" spans="2:7" x14ac:dyDescent="0.25">
      <c r="B18" s="1" t="s">
        <v>125</v>
      </c>
      <c r="C18" s="19" t="s">
        <v>68</v>
      </c>
      <c r="D18" s="24">
        <v>111101</v>
      </c>
      <c r="E18" s="19" t="s">
        <v>0</v>
      </c>
      <c r="F18" s="16">
        <v>104913.8</v>
      </c>
      <c r="G18" s="20">
        <v>2045000000</v>
      </c>
    </row>
    <row r="19" spans="2:7" x14ac:dyDescent="0.25">
      <c r="B19" s="1" t="s">
        <v>126</v>
      </c>
      <c r="C19" s="19" t="s">
        <v>69</v>
      </c>
      <c r="D19" s="24">
        <v>111101</v>
      </c>
      <c r="E19" s="19" t="s">
        <v>0</v>
      </c>
      <c r="F19" s="16">
        <v>2003262.2180000001</v>
      </c>
      <c r="G19" s="20">
        <v>2051210000</v>
      </c>
    </row>
    <row r="20" spans="2:7" x14ac:dyDescent="0.25">
      <c r="B20" s="1" t="s">
        <v>127</v>
      </c>
      <c r="C20" s="19" t="s">
        <v>69</v>
      </c>
      <c r="D20" s="24">
        <v>1</v>
      </c>
      <c r="E20" s="19" t="s">
        <v>0</v>
      </c>
      <c r="F20" s="16">
        <v>41981.296000000002</v>
      </c>
      <c r="G20" s="20">
        <v>2051210000</v>
      </c>
    </row>
    <row r="21" spans="2:7" x14ac:dyDescent="0.25">
      <c r="B21" s="1" t="s">
        <v>128</v>
      </c>
      <c r="C21" s="19" t="s">
        <v>70</v>
      </c>
      <c r="D21" s="24" t="s">
        <v>3</v>
      </c>
      <c r="E21" s="19" t="s">
        <v>38</v>
      </c>
      <c r="F21" s="16">
        <v>-2156147.4</v>
      </c>
      <c r="G21" s="20">
        <v>2069010000</v>
      </c>
    </row>
    <row r="22" spans="2:7" x14ac:dyDescent="0.25">
      <c r="B22" s="1" t="s">
        <v>129</v>
      </c>
      <c r="C22" s="19" t="s">
        <v>70</v>
      </c>
      <c r="D22" s="24">
        <v>14</v>
      </c>
      <c r="E22" s="19" t="s">
        <v>39</v>
      </c>
      <c r="F22" s="16">
        <v>-291428.55199999997</v>
      </c>
      <c r="G22" s="20">
        <v>2069010000</v>
      </c>
    </row>
    <row r="23" spans="2:7" x14ac:dyDescent="0.25">
      <c r="B23" s="1" t="s">
        <v>130</v>
      </c>
      <c r="C23" s="19" t="s">
        <v>70</v>
      </c>
      <c r="D23" s="24">
        <v>1037</v>
      </c>
      <c r="E23" s="19" t="s">
        <v>44</v>
      </c>
      <c r="F23" s="16">
        <v>0</v>
      </c>
      <c r="G23" s="20">
        <v>2069010000</v>
      </c>
    </row>
    <row r="24" spans="2:7" x14ac:dyDescent="0.25">
      <c r="B24" s="1" t="s">
        <v>131</v>
      </c>
      <c r="C24" s="19" t="s">
        <v>70</v>
      </c>
      <c r="D24" s="24" t="s">
        <v>4</v>
      </c>
      <c r="E24" s="19" t="s">
        <v>43</v>
      </c>
      <c r="F24" s="16">
        <v>-33736.5</v>
      </c>
      <c r="G24" s="20">
        <v>2069010000</v>
      </c>
    </row>
    <row r="25" spans="2:7" x14ac:dyDescent="0.25">
      <c r="B25" s="1" t="s">
        <v>132</v>
      </c>
      <c r="C25" s="19" t="s">
        <v>70</v>
      </c>
      <c r="D25" s="24">
        <v>1009</v>
      </c>
      <c r="E25" s="19" t="s">
        <v>33</v>
      </c>
      <c r="F25" s="16">
        <v>0</v>
      </c>
      <c r="G25" s="20">
        <v>2069010000</v>
      </c>
    </row>
    <row r="26" spans="2:7" x14ac:dyDescent="0.25">
      <c r="B26" s="1" t="s">
        <v>133</v>
      </c>
      <c r="C26" s="19" t="s">
        <v>70</v>
      </c>
      <c r="D26" s="24">
        <v>1007</v>
      </c>
      <c r="E26" s="19" t="s">
        <v>35</v>
      </c>
      <c r="F26" s="16">
        <v>0</v>
      </c>
      <c r="G26" s="20">
        <v>2069010000</v>
      </c>
    </row>
    <row r="27" spans="2:7" x14ac:dyDescent="0.25">
      <c r="B27" s="1" t="s">
        <v>134</v>
      </c>
      <c r="C27" s="19" t="s">
        <v>70</v>
      </c>
      <c r="D27" s="24">
        <v>1008</v>
      </c>
      <c r="E27" s="19" t="s">
        <v>37</v>
      </c>
      <c r="F27" s="16">
        <v>0</v>
      </c>
      <c r="G27" s="20">
        <v>2069010000</v>
      </c>
    </row>
    <row r="28" spans="2:7" x14ac:dyDescent="0.25">
      <c r="B28" s="1" t="s">
        <v>135</v>
      </c>
      <c r="C28" s="19" t="s">
        <v>70</v>
      </c>
      <c r="D28" s="24">
        <v>1240</v>
      </c>
      <c r="E28" s="19" t="s">
        <v>42</v>
      </c>
      <c r="F28" s="16">
        <v>-199600.4</v>
      </c>
      <c r="G28" s="20">
        <v>2069010000</v>
      </c>
    </row>
    <row r="29" spans="2:7" x14ac:dyDescent="0.25">
      <c r="B29" s="1" t="s">
        <v>136</v>
      </c>
      <c r="C29" s="19" t="s">
        <v>70</v>
      </c>
      <c r="D29" s="24">
        <v>111111</v>
      </c>
      <c r="E29" s="19" t="s">
        <v>99</v>
      </c>
      <c r="F29" s="16">
        <v>-539141.4</v>
      </c>
      <c r="G29" s="20">
        <v>2069010000</v>
      </c>
    </row>
    <row r="30" spans="2:7" x14ac:dyDescent="0.25">
      <c r="B30" s="1" t="s">
        <v>137</v>
      </c>
      <c r="C30" s="19" t="s">
        <v>71</v>
      </c>
      <c r="D30" s="24">
        <v>111111</v>
      </c>
      <c r="E30" s="19" t="s">
        <v>99</v>
      </c>
      <c r="F30" s="16">
        <v>-57.221999999999994</v>
      </c>
      <c r="G30" s="20">
        <v>2069980000</v>
      </c>
    </row>
    <row r="31" spans="2:7" x14ac:dyDescent="0.25">
      <c r="B31" s="1" t="s">
        <v>138</v>
      </c>
      <c r="C31" s="19" t="s">
        <v>72</v>
      </c>
      <c r="D31" s="24">
        <v>111111</v>
      </c>
      <c r="E31" s="19" t="s">
        <v>99</v>
      </c>
      <c r="F31" s="16">
        <v>22314.879999999997</v>
      </c>
      <c r="G31" s="20">
        <v>2070400000</v>
      </c>
    </row>
    <row r="32" spans="2:7" x14ac:dyDescent="0.25">
      <c r="B32" s="1" t="s">
        <v>139</v>
      </c>
      <c r="C32" s="19" t="s">
        <v>73</v>
      </c>
      <c r="D32" s="24">
        <v>88</v>
      </c>
      <c r="E32" s="19" t="s">
        <v>30</v>
      </c>
      <c r="F32" s="16">
        <v>204000</v>
      </c>
      <c r="G32" s="20">
        <v>2070500000</v>
      </c>
    </row>
    <row r="33" spans="2:7" x14ac:dyDescent="0.25">
      <c r="B33" s="1" t="s">
        <v>140</v>
      </c>
      <c r="C33" s="19" t="s">
        <v>73</v>
      </c>
      <c r="D33" s="24">
        <v>111111</v>
      </c>
      <c r="E33" s="19" t="s">
        <v>99</v>
      </c>
      <c r="F33" s="16">
        <v>138.41399999999999</v>
      </c>
      <c r="G33" s="20">
        <v>2070500000</v>
      </c>
    </row>
    <row r="34" spans="2:7" x14ac:dyDescent="0.25">
      <c r="B34" s="1" t="s">
        <v>141</v>
      </c>
      <c r="C34" s="19" t="s">
        <v>74</v>
      </c>
      <c r="D34" s="24">
        <v>111111</v>
      </c>
      <c r="E34" s="19" t="s">
        <v>99</v>
      </c>
      <c r="F34" s="16">
        <v>1127445.872</v>
      </c>
      <c r="G34" s="20">
        <v>2070600000</v>
      </c>
    </row>
    <row r="35" spans="2:7" x14ac:dyDescent="0.25">
      <c r="B35" s="1" t="s">
        <v>142</v>
      </c>
      <c r="C35" s="19" t="s">
        <v>75</v>
      </c>
      <c r="D35" s="24" t="s">
        <v>5</v>
      </c>
      <c r="E35" s="19" t="s">
        <v>40</v>
      </c>
      <c r="F35" s="16">
        <v>133722</v>
      </c>
      <c r="G35" s="20">
        <v>2070900000</v>
      </c>
    </row>
    <row r="36" spans="2:7" x14ac:dyDescent="0.25">
      <c r="B36" s="1" t="s">
        <v>143</v>
      </c>
      <c r="C36" s="19" t="s">
        <v>75</v>
      </c>
      <c r="D36" s="24" t="s">
        <v>6</v>
      </c>
      <c r="E36" s="19" t="s">
        <v>41</v>
      </c>
      <c r="F36" s="16">
        <v>328061.886</v>
      </c>
      <c r="G36" s="20">
        <v>2070900000</v>
      </c>
    </row>
    <row r="37" spans="2:7" x14ac:dyDescent="0.25">
      <c r="B37" s="1" t="s">
        <v>144</v>
      </c>
      <c r="C37" s="19" t="s">
        <v>75</v>
      </c>
      <c r="D37" s="24">
        <v>111111</v>
      </c>
      <c r="E37" s="19" t="s">
        <v>99</v>
      </c>
      <c r="F37" s="16">
        <v>2081304.3219999997</v>
      </c>
      <c r="G37" s="20">
        <v>2070900000</v>
      </c>
    </row>
    <row r="38" spans="2:7" x14ac:dyDescent="0.25">
      <c r="B38" s="1" t="s">
        <v>145</v>
      </c>
      <c r="C38" s="19" t="s">
        <v>7</v>
      </c>
      <c r="D38" s="24">
        <v>111111</v>
      </c>
      <c r="E38" s="19" t="s">
        <v>99</v>
      </c>
      <c r="F38" s="16">
        <v>33410.031999999999</v>
      </c>
      <c r="G38" s="20">
        <v>2071000000</v>
      </c>
    </row>
    <row r="39" spans="2:7" x14ac:dyDescent="0.25">
      <c r="B39" s="1" t="s">
        <v>146</v>
      </c>
      <c r="C39" s="19" t="s">
        <v>76</v>
      </c>
      <c r="D39" s="24">
        <v>111111</v>
      </c>
      <c r="E39" s="19" t="s">
        <v>99</v>
      </c>
      <c r="F39" s="16">
        <v>213090.85199999998</v>
      </c>
      <c r="G39" s="20">
        <v>2071100000</v>
      </c>
    </row>
    <row r="40" spans="2:7" x14ac:dyDescent="0.25">
      <c r="B40" s="1" t="s">
        <v>147</v>
      </c>
      <c r="C40" s="19" t="s">
        <v>8</v>
      </c>
      <c r="D40" s="24">
        <v>111111</v>
      </c>
      <c r="E40" s="19" t="s">
        <v>99</v>
      </c>
      <c r="F40" s="16">
        <v>1813525.004</v>
      </c>
      <c r="G40" s="20">
        <v>2071209200</v>
      </c>
    </row>
    <row r="41" spans="2:7" x14ac:dyDescent="0.25">
      <c r="B41" s="1" t="s">
        <v>148</v>
      </c>
      <c r="C41" s="19" t="s">
        <v>77</v>
      </c>
      <c r="D41" s="24">
        <v>111111</v>
      </c>
      <c r="E41" s="19" t="s">
        <v>99</v>
      </c>
      <c r="F41" s="16">
        <v>5552.2</v>
      </c>
      <c r="G41" s="20">
        <v>2071209400</v>
      </c>
    </row>
    <row r="42" spans="2:7" x14ac:dyDescent="0.25">
      <c r="B42" s="1" t="s">
        <v>149</v>
      </c>
      <c r="C42" s="19" t="s">
        <v>78</v>
      </c>
      <c r="D42" s="24">
        <v>111111</v>
      </c>
      <c r="E42" s="19" t="s">
        <v>99</v>
      </c>
      <c r="F42" s="16">
        <v>43868.975999999995</v>
      </c>
      <c r="G42" s="20">
        <v>2071209500</v>
      </c>
    </row>
    <row r="43" spans="2:7" x14ac:dyDescent="0.25">
      <c r="B43" s="1" t="s">
        <v>150</v>
      </c>
      <c r="C43" s="19" t="s">
        <v>79</v>
      </c>
      <c r="D43" s="24">
        <v>111101</v>
      </c>
      <c r="E43" s="19" t="s">
        <v>0</v>
      </c>
      <c r="F43" s="16">
        <v>10934.671999999999</v>
      </c>
      <c r="G43" s="20">
        <v>2071980000</v>
      </c>
    </row>
    <row r="44" spans="2:7" x14ac:dyDescent="0.25">
      <c r="B44" s="1" t="s">
        <v>151</v>
      </c>
      <c r="C44" s="19" t="s">
        <v>80</v>
      </c>
      <c r="D44" s="24">
        <v>111111</v>
      </c>
      <c r="E44" s="19" t="s">
        <v>99</v>
      </c>
      <c r="F44" s="16">
        <v>20400</v>
      </c>
      <c r="G44" s="20">
        <v>2079022000</v>
      </c>
    </row>
    <row r="45" spans="2:7" x14ac:dyDescent="0.25">
      <c r="B45" s="1" t="s">
        <v>152</v>
      </c>
      <c r="C45" s="19" t="s">
        <v>81</v>
      </c>
      <c r="D45" s="24">
        <v>105</v>
      </c>
      <c r="E45" s="19" t="s">
        <v>31</v>
      </c>
      <c r="F45" s="16">
        <v>0</v>
      </c>
      <c r="G45" s="20">
        <v>2079070000</v>
      </c>
    </row>
    <row r="46" spans="2:7" x14ac:dyDescent="0.25">
      <c r="B46" s="1" t="s">
        <v>153</v>
      </c>
      <c r="C46" s="19" t="s">
        <v>81</v>
      </c>
      <c r="D46" s="24">
        <v>111111</v>
      </c>
      <c r="E46" s="19" t="s">
        <v>99</v>
      </c>
      <c r="F46" s="16">
        <v>563918.152</v>
      </c>
      <c r="G46" s="20">
        <v>2079070000</v>
      </c>
    </row>
    <row r="47" spans="2:7" x14ac:dyDescent="0.25">
      <c r="B47" s="1" t="s">
        <v>154</v>
      </c>
      <c r="C47" s="19" t="s">
        <v>82</v>
      </c>
      <c r="D47" s="24">
        <v>1009</v>
      </c>
      <c r="E47" s="19" t="s">
        <v>33</v>
      </c>
      <c r="F47" s="16">
        <v>0</v>
      </c>
      <c r="G47" s="20">
        <v>2079080000</v>
      </c>
    </row>
    <row r="48" spans="2:7" x14ac:dyDescent="0.25">
      <c r="B48" s="1" t="s">
        <v>155</v>
      </c>
      <c r="C48" s="19" t="s">
        <v>82</v>
      </c>
      <c r="D48" s="24">
        <v>1007</v>
      </c>
      <c r="E48" s="19" t="s">
        <v>35</v>
      </c>
      <c r="F48" s="16">
        <v>0</v>
      </c>
      <c r="G48" s="20">
        <v>2079080000</v>
      </c>
    </row>
    <row r="49" spans="2:7" x14ac:dyDescent="0.25">
      <c r="B49" s="1" t="s">
        <v>156</v>
      </c>
      <c r="C49" s="19" t="s">
        <v>82</v>
      </c>
      <c r="D49" s="24">
        <v>1008</v>
      </c>
      <c r="E49" s="19" t="s">
        <v>37</v>
      </c>
      <c r="F49" s="16">
        <v>0</v>
      </c>
      <c r="G49" s="20">
        <v>2079080000</v>
      </c>
    </row>
    <row r="50" spans="2:7" x14ac:dyDescent="0.25">
      <c r="B50" s="1" t="s">
        <v>157</v>
      </c>
      <c r="C50" s="19" t="s">
        <v>83</v>
      </c>
      <c r="D50" s="24">
        <v>1009</v>
      </c>
      <c r="E50" s="19" t="s">
        <v>33</v>
      </c>
      <c r="F50" s="16">
        <v>0</v>
      </c>
      <c r="G50" s="20">
        <v>2082280000</v>
      </c>
    </row>
    <row r="51" spans="2:7" x14ac:dyDescent="0.25">
      <c r="B51" s="1" t="s">
        <v>158</v>
      </c>
      <c r="C51" s="19" t="s">
        <v>83</v>
      </c>
      <c r="D51" s="24">
        <v>1007</v>
      </c>
      <c r="E51" s="19" t="s">
        <v>35</v>
      </c>
      <c r="F51" s="16">
        <v>0</v>
      </c>
      <c r="G51" s="20">
        <v>2082280000</v>
      </c>
    </row>
    <row r="52" spans="2:7" x14ac:dyDescent="0.25">
      <c r="B52" s="1" t="s">
        <v>159</v>
      </c>
      <c r="C52" s="19" t="s">
        <v>83</v>
      </c>
      <c r="D52" s="24">
        <v>1008</v>
      </c>
      <c r="E52" s="19" t="s">
        <v>37</v>
      </c>
      <c r="F52" s="16">
        <v>0</v>
      </c>
      <c r="G52" s="20">
        <v>2082280000</v>
      </c>
    </row>
    <row r="53" spans="2:7" x14ac:dyDescent="0.25">
      <c r="B53" s="1" t="s">
        <v>160</v>
      </c>
      <c r="C53" s="19" t="s">
        <v>83</v>
      </c>
      <c r="D53" s="24">
        <v>1240</v>
      </c>
      <c r="E53" s="19" t="s">
        <v>42</v>
      </c>
      <c r="F53" s="16">
        <v>-35810.228000000003</v>
      </c>
      <c r="G53" s="20">
        <v>2082280000</v>
      </c>
    </row>
    <row r="54" spans="2:7" x14ac:dyDescent="0.25">
      <c r="B54" s="1" t="s">
        <v>161</v>
      </c>
      <c r="C54" s="19" t="s">
        <v>83</v>
      </c>
      <c r="D54" s="24">
        <v>111111</v>
      </c>
      <c r="E54" s="19" t="s">
        <v>99</v>
      </c>
      <c r="F54" s="16">
        <v>-51927.417999999998</v>
      </c>
      <c r="G54" s="20">
        <v>2082280000</v>
      </c>
    </row>
    <row r="55" spans="2:7" x14ac:dyDescent="0.25">
      <c r="B55" s="1" t="s">
        <v>162</v>
      </c>
      <c r="C55" s="19" t="s">
        <v>9</v>
      </c>
      <c r="D55" s="24">
        <v>111101</v>
      </c>
      <c r="E55" s="19" t="s">
        <v>0</v>
      </c>
      <c r="F55" s="16">
        <v>-862270.63399999996</v>
      </c>
      <c r="G55" s="20">
        <v>2082202000</v>
      </c>
    </row>
    <row r="56" spans="2:7" x14ac:dyDescent="0.25">
      <c r="B56" s="1" t="s">
        <v>163</v>
      </c>
      <c r="C56" s="19" t="s">
        <v>84</v>
      </c>
      <c r="D56" s="24">
        <v>111101</v>
      </c>
      <c r="E56" s="19" t="s">
        <v>0</v>
      </c>
      <c r="F56" s="16">
        <v>22763</v>
      </c>
      <c r="G56" s="20">
        <v>2082208200</v>
      </c>
    </row>
    <row r="57" spans="2:7" x14ac:dyDescent="0.25">
      <c r="B57" s="1" t="s">
        <v>164</v>
      </c>
      <c r="C57" s="19" t="s">
        <v>85</v>
      </c>
      <c r="D57" s="24">
        <v>88</v>
      </c>
      <c r="E57" s="19" t="s">
        <v>30</v>
      </c>
      <c r="F57" s="16">
        <v>2930430.0120000001</v>
      </c>
      <c r="G57" s="20">
        <v>2082214000</v>
      </c>
    </row>
    <row r="58" spans="2:7" x14ac:dyDescent="0.25">
      <c r="B58" s="1" t="s">
        <v>165</v>
      </c>
      <c r="C58" s="19" t="s">
        <v>86</v>
      </c>
      <c r="D58" s="24">
        <v>111101</v>
      </c>
      <c r="E58" s="19" t="s">
        <v>0</v>
      </c>
      <c r="F58" s="16">
        <v>-49378.641999999993</v>
      </c>
      <c r="G58" s="20">
        <v>2091200000</v>
      </c>
    </row>
    <row r="59" spans="2:7" x14ac:dyDescent="0.25">
      <c r="B59" s="1" t="s">
        <v>166</v>
      </c>
      <c r="C59" s="19" t="s">
        <v>87</v>
      </c>
      <c r="D59" s="24">
        <v>111101</v>
      </c>
      <c r="E59" s="19" t="s">
        <v>0</v>
      </c>
      <c r="F59" s="16">
        <v>516250.67</v>
      </c>
      <c r="G59" s="20">
        <v>2091200001</v>
      </c>
    </row>
    <row r="60" spans="2:7" x14ac:dyDescent="0.25">
      <c r="B60" s="1" t="s">
        <v>167</v>
      </c>
      <c r="C60" s="19" t="s">
        <v>88</v>
      </c>
      <c r="D60" s="24">
        <v>111101</v>
      </c>
      <c r="E60" s="19" t="s">
        <v>0</v>
      </c>
      <c r="F60" s="16">
        <v>21593.093999999997</v>
      </c>
      <c r="G60" s="20">
        <v>2092200000</v>
      </c>
    </row>
    <row r="61" spans="2:7" x14ac:dyDescent="0.25">
      <c r="B61" s="1" t="s">
        <v>168</v>
      </c>
      <c r="C61" s="21" t="s">
        <v>61</v>
      </c>
      <c r="D61" s="25">
        <v>111101</v>
      </c>
      <c r="E61" s="21" t="s">
        <v>0</v>
      </c>
      <c r="F61" s="22">
        <v>-2904117.9939999986</v>
      </c>
      <c r="G61" s="23">
        <v>2999999999</v>
      </c>
    </row>
    <row r="62" spans="2:7" x14ac:dyDescent="0.25">
      <c r="D62" s="4"/>
      <c r="G62" s="3"/>
    </row>
    <row r="63" spans="2:7" x14ac:dyDescent="0.25">
      <c r="D63" s="4"/>
      <c r="G63" s="3"/>
    </row>
    <row r="64" spans="2:7" x14ac:dyDescent="0.25">
      <c r="D64" s="4"/>
      <c r="G64" s="3"/>
    </row>
    <row r="65" spans="4:7" x14ac:dyDescent="0.25">
      <c r="D65" s="4"/>
      <c r="G65" s="3"/>
    </row>
    <row r="66" spans="4:7" x14ac:dyDescent="0.25">
      <c r="D66" s="4"/>
      <c r="G66" s="3"/>
    </row>
    <row r="67" spans="4:7" x14ac:dyDescent="0.25">
      <c r="D67" s="4"/>
      <c r="G67" s="3"/>
    </row>
    <row r="68" spans="4:7" x14ac:dyDescent="0.25">
      <c r="D68" s="4"/>
      <c r="G68" s="3"/>
    </row>
    <row r="69" spans="4:7" x14ac:dyDescent="0.25">
      <c r="D69" s="4"/>
      <c r="G69" s="3"/>
    </row>
    <row r="70" spans="4:7" x14ac:dyDescent="0.25">
      <c r="D70" s="4"/>
      <c r="G70" s="3"/>
    </row>
    <row r="71" spans="4:7" x14ac:dyDescent="0.25">
      <c r="D71" s="4"/>
      <c r="G71" s="3"/>
    </row>
    <row r="72" spans="4:7" x14ac:dyDescent="0.25">
      <c r="D72" s="4"/>
      <c r="G72" s="3"/>
    </row>
    <row r="73" spans="4:7" x14ac:dyDescent="0.25">
      <c r="D73" s="4"/>
      <c r="G73" s="3"/>
    </row>
    <row r="74" spans="4:7" x14ac:dyDescent="0.25">
      <c r="D74" s="4"/>
      <c r="G74" s="3"/>
    </row>
    <row r="75" spans="4:7" x14ac:dyDescent="0.25">
      <c r="D75" s="4"/>
      <c r="G75" s="3"/>
    </row>
    <row r="76" spans="4:7" x14ac:dyDescent="0.25">
      <c r="D76" s="4"/>
      <c r="G76" s="3"/>
    </row>
    <row r="77" spans="4:7" x14ac:dyDescent="0.25">
      <c r="D77" s="4"/>
      <c r="G77" s="3"/>
    </row>
    <row r="78" spans="4:7" x14ac:dyDescent="0.25">
      <c r="D78" s="4"/>
      <c r="G78" s="3"/>
    </row>
    <row r="79" spans="4:7" x14ac:dyDescent="0.25">
      <c r="D79" s="4"/>
      <c r="G79" s="3"/>
    </row>
    <row r="80" spans="4:7" x14ac:dyDescent="0.25">
      <c r="D80" s="4"/>
      <c r="G80" s="3"/>
    </row>
    <row r="81" spans="4:7" x14ac:dyDescent="0.25">
      <c r="D81" s="4"/>
      <c r="G81" s="3"/>
    </row>
    <row r="82" spans="4:7" x14ac:dyDescent="0.25">
      <c r="D82" s="4"/>
      <c r="G82" s="3"/>
    </row>
    <row r="83" spans="4:7" x14ac:dyDescent="0.25">
      <c r="D83" s="4"/>
      <c r="G83" s="3"/>
    </row>
    <row r="84" spans="4:7" x14ac:dyDescent="0.25">
      <c r="D84" s="4"/>
      <c r="G84" s="3"/>
    </row>
    <row r="85" spans="4:7" x14ac:dyDescent="0.25">
      <c r="D85" s="4"/>
      <c r="G85" s="3"/>
    </row>
    <row r="86" spans="4:7" x14ac:dyDescent="0.25">
      <c r="D86" s="4"/>
      <c r="G86" s="3"/>
    </row>
    <row r="87" spans="4:7" x14ac:dyDescent="0.25">
      <c r="D87" s="4"/>
      <c r="G87" s="3"/>
    </row>
    <row r="88" spans="4:7" x14ac:dyDescent="0.25">
      <c r="D88" s="4"/>
      <c r="G88" s="3"/>
    </row>
    <row r="89" spans="4:7" x14ac:dyDescent="0.25">
      <c r="D89" s="4"/>
      <c r="G89" s="3"/>
    </row>
    <row r="90" spans="4:7" x14ac:dyDescent="0.25">
      <c r="D90" s="4"/>
      <c r="G90" s="3"/>
    </row>
    <row r="91" spans="4:7" x14ac:dyDescent="0.25">
      <c r="D91" s="4"/>
      <c r="G91" s="3"/>
    </row>
    <row r="92" spans="4:7" x14ac:dyDescent="0.25">
      <c r="D92" s="4"/>
      <c r="G92" s="3"/>
    </row>
    <row r="93" spans="4:7" x14ac:dyDescent="0.25">
      <c r="D93" s="4"/>
      <c r="G93" s="3"/>
    </row>
    <row r="94" spans="4:7" x14ac:dyDescent="0.25">
      <c r="D94" s="4"/>
      <c r="G94" s="3"/>
    </row>
    <row r="95" spans="4:7" x14ac:dyDescent="0.25">
      <c r="D95" s="4"/>
      <c r="G95" s="3"/>
    </row>
    <row r="96" spans="4:7" x14ac:dyDescent="0.25">
      <c r="D96" s="4"/>
      <c r="G96" s="3"/>
    </row>
  </sheetData>
  <autoFilter ref="C4:G6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25" defaultRowHeight="15" x14ac:dyDescent="0.25"/>
  <cols>
    <col min="1" max="1" width="2" style="1" customWidth="1"/>
    <col min="2" max="2" width="9.125" style="1"/>
    <col min="3" max="3" width="34.875" style="1" bestFit="1" customWidth="1"/>
    <col min="4" max="4" width="21.125" style="1" bestFit="1" customWidth="1"/>
    <col min="5" max="5" width="37.5" style="1" bestFit="1" customWidth="1"/>
    <col min="6" max="6" width="11.5" style="1" bestFit="1" customWidth="1"/>
    <col min="7" max="7" width="11" style="1" bestFit="1" customWidth="1"/>
    <col min="9" max="16384" width="9.125" style="1"/>
  </cols>
  <sheetData>
    <row r="1" spans="2:7" ht="15.75" x14ac:dyDescent="0.25">
      <c r="B1" s="2" t="s">
        <v>109</v>
      </c>
    </row>
    <row r="4" spans="2:7" x14ac:dyDescent="0.25">
      <c r="B4" s="1" t="s">
        <v>111</v>
      </c>
      <c r="C4" s="19" t="s">
        <v>95</v>
      </c>
      <c r="D4" s="19" t="s">
        <v>29</v>
      </c>
      <c r="E4" s="19" t="s">
        <v>96</v>
      </c>
      <c r="F4" s="19" t="s">
        <v>97</v>
      </c>
      <c r="G4" s="19" t="s">
        <v>98</v>
      </c>
    </row>
    <row r="5" spans="2:7" x14ac:dyDescent="0.25">
      <c r="B5" s="1" t="s">
        <v>169</v>
      </c>
      <c r="C5" s="4" t="s">
        <v>62</v>
      </c>
      <c r="D5" s="4">
        <v>105</v>
      </c>
      <c r="E5" s="4" t="s">
        <v>31</v>
      </c>
      <c r="F5" s="12">
        <v>-355396.61499999999</v>
      </c>
      <c r="G5" s="4">
        <v>2001110000</v>
      </c>
    </row>
    <row r="6" spans="2:7" x14ac:dyDescent="0.25">
      <c r="B6" s="1" t="s">
        <v>112</v>
      </c>
      <c r="C6" s="4" t="s">
        <v>62</v>
      </c>
      <c r="D6" s="4">
        <v>111111</v>
      </c>
      <c r="E6" s="4" t="s">
        <v>99</v>
      </c>
      <c r="F6" s="12">
        <v>-15792898.75</v>
      </c>
      <c r="G6" s="4">
        <v>2001110000</v>
      </c>
    </row>
    <row r="7" spans="2:7" x14ac:dyDescent="0.25">
      <c r="B7" s="1" t="s">
        <v>113</v>
      </c>
      <c r="C7" s="4" t="s">
        <v>63</v>
      </c>
      <c r="D7" s="4">
        <v>111111</v>
      </c>
      <c r="E7" s="4" t="s">
        <v>99</v>
      </c>
      <c r="F7" s="12">
        <v>-6960217.6449999996</v>
      </c>
      <c r="G7" s="4">
        <v>2001190000</v>
      </c>
    </row>
    <row r="8" spans="2:7" x14ac:dyDescent="0.25">
      <c r="B8" s="1" t="s">
        <v>170</v>
      </c>
      <c r="C8" s="4" t="s">
        <v>64</v>
      </c>
      <c r="D8" s="4" t="s">
        <v>10</v>
      </c>
      <c r="E8" s="4" t="s">
        <v>45</v>
      </c>
      <c r="F8" s="12">
        <v>-420017.14999999997</v>
      </c>
      <c r="G8" s="4">
        <v>2020000000</v>
      </c>
    </row>
    <row r="9" spans="2:7" x14ac:dyDescent="0.25">
      <c r="B9" s="1" t="s">
        <v>115</v>
      </c>
      <c r="C9" s="4" t="s">
        <v>64</v>
      </c>
      <c r="D9" s="4">
        <v>1007</v>
      </c>
      <c r="E9" s="4" t="s">
        <v>35</v>
      </c>
      <c r="F9" s="12">
        <v>-89234.880000000005</v>
      </c>
      <c r="G9" s="4">
        <v>2020000000</v>
      </c>
    </row>
    <row r="10" spans="2:7" x14ac:dyDescent="0.25">
      <c r="B10" s="1" t="s">
        <v>116</v>
      </c>
      <c r="C10" s="4" t="s">
        <v>64</v>
      </c>
      <c r="D10" s="4">
        <v>1008</v>
      </c>
      <c r="E10" s="4" t="s">
        <v>37</v>
      </c>
      <c r="F10" s="12">
        <v>-26173</v>
      </c>
      <c r="G10" s="4">
        <v>2020000000</v>
      </c>
    </row>
    <row r="11" spans="2:7" x14ac:dyDescent="0.25">
      <c r="B11" s="1" t="s">
        <v>117</v>
      </c>
      <c r="C11" s="4" t="s">
        <v>64</v>
      </c>
      <c r="D11" s="4">
        <v>111101</v>
      </c>
      <c r="E11" s="4" t="s">
        <v>0</v>
      </c>
      <c r="F11" s="12">
        <v>-209401.92</v>
      </c>
      <c r="G11" s="4">
        <v>2020000000</v>
      </c>
    </row>
    <row r="12" spans="2:7" x14ac:dyDescent="0.25">
      <c r="B12" s="1" t="s">
        <v>171</v>
      </c>
      <c r="C12" s="4" t="s">
        <v>101</v>
      </c>
      <c r="D12" s="4">
        <v>111111</v>
      </c>
      <c r="E12" s="4" t="s">
        <v>99</v>
      </c>
      <c r="F12" s="12">
        <v>14589.33</v>
      </c>
      <c r="G12" s="4">
        <v>2021210000</v>
      </c>
    </row>
    <row r="13" spans="2:7" x14ac:dyDescent="0.25">
      <c r="B13" s="1" t="s">
        <v>118</v>
      </c>
      <c r="C13" s="4" t="s">
        <v>100</v>
      </c>
      <c r="D13" s="4">
        <v>111111</v>
      </c>
      <c r="E13" s="4" t="s">
        <v>99</v>
      </c>
      <c r="F13" s="12">
        <v>5463188.8250000002</v>
      </c>
      <c r="G13" s="4">
        <v>2021900000</v>
      </c>
    </row>
    <row r="14" spans="2:7" x14ac:dyDescent="0.25">
      <c r="B14" s="1" t="s">
        <v>119</v>
      </c>
      <c r="C14" s="4" t="s">
        <v>66</v>
      </c>
      <c r="D14" s="4">
        <v>111111</v>
      </c>
      <c r="E14" s="4" t="s">
        <v>99</v>
      </c>
      <c r="F14" s="12">
        <v>343675</v>
      </c>
      <c r="G14" s="4">
        <v>2024080000</v>
      </c>
    </row>
    <row r="15" spans="2:7" x14ac:dyDescent="0.25">
      <c r="B15" s="1" t="s">
        <v>172</v>
      </c>
      <c r="C15" s="4" t="s">
        <v>65</v>
      </c>
      <c r="D15" s="4">
        <v>19</v>
      </c>
      <c r="E15" s="4" t="s">
        <v>39</v>
      </c>
      <c r="F15" s="12">
        <v>38521</v>
      </c>
      <c r="G15" s="4">
        <v>2024090000</v>
      </c>
    </row>
    <row r="16" spans="2:7" x14ac:dyDescent="0.25">
      <c r="B16" s="1" t="s">
        <v>120</v>
      </c>
      <c r="C16" s="4" t="s">
        <v>65</v>
      </c>
      <c r="D16" s="4">
        <v>88</v>
      </c>
      <c r="E16" s="4" t="s">
        <v>30</v>
      </c>
      <c r="F16" s="12">
        <v>1980162.23</v>
      </c>
      <c r="G16" s="4">
        <v>2024090000</v>
      </c>
    </row>
    <row r="17" spans="2:7" x14ac:dyDescent="0.25">
      <c r="B17" s="1" t="s">
        <v>173</v>
      </c>
      <c r="C17" s="4" t="s">
        <v>65</v>
      </c>
      <c r="D17" s="4" t="s">
        <v>11</v>
      </c>
      <c r="E17" s="4" t="s">
        <v>32</v>
      </c>
      <c r="F17" s="12">
        <v>1820</v>
      </c>
      <c r="G17" s="4">
        <v>2024090000</v>
      </c>
    </row>
    <row r="18" spans="2:7" x14ac:dyDescent="0.25">
      <c r="B18" s="1" t="s">
        <v>174</v>
      </c>
      <c r="C18" s="4" t="s">
        <v>65</v>
      </c>
      <c r="D18" s="4" t="s">
        <v>12</v>
      </c>
      <c r="E18" s="4" t="s">
        <v>34</v>
      </c>
      <c r="F18" s="12">
        <v>10448.129999999999</v>
      </c>
      <c r="G18" s="4">
        <v>2024090000</v>
      </c>
    </row>
    <row r="19" spans="2:7" x14ac:dyDescent="0.25">
      <c r="B19" s="1" t="s">
        <v>175</v>
      </c>
      <c r="C19" s="4" t="s">
        <v>65</v>
      </c>
      <c r="D19" s="4" t="s">
        <v>13</v>
      </c>
      <c r="E19" s="4" t="s">
        <v>47</v>
      </c>
      <c r="F19" s="12">
        <v>10412.5</v>
      </c>
      <c r="G19" s="4">
        <v>2024090000</v>
      </c>
    </row>
    <row r="20" spans="2:7" x14ac:dyDescent="0.25">
      <c r="B20" s="1" t="s">
        <v>121</v>
      </c>
      <c r="C20" s="4" t="s">
        <v>65</v>
      </c>
      <c r="D20" s="4">
        <v>111111</v>
      </c>
      <c r="E20" s="4" t="s">
        <v>99</v>
      </c>
      <c r="F20" s="12">
        <v>27148.625</v>
      </c>
      <c r="G20" s="4">
        <v>2024090000</v>
      </c>
    </row>
    <row r="21" spans="2:7" x14ac:dyDescent="0.25">
      <c r="B21" s="1" t="s">
        <v>122</v>
      </c>
      <c r="C21" s="4" t="s">
        <v>1</v>
      </c>
      <c r="D21" s="4">
        <v>111111</v>
      </c>
      <c r="E21" s="4" t="s">
        <v>99</v>
      </c>
      <c r="F21" s="12">
        <v>5507141.0549999997</v>
      </c>
      <c r="G21" s="4">
        <v>2041000000</v>
      </c>
    </row>
    <row r="22" spans="2:7" x14ac:dyDescent="0.25">
      <c r="B22" s="1" t="s">
        <v>123</v>
      </c>
      <c r="C22" s="4" t="s">
        <v>2</v>
      </c>
      <c r="D22" s="4">
        <v>111101</v>
      </c>
      <c r="E22" s="4" t="s">
        <v>0</v>
      </c>
      <c r="F22" s="12">
        <v>1752994.18</v>
      </c>
      <c r="G22" s="4">
        <v>2042000000</v>
      </c>
    </row>
    <row r="23" spans="2:7" x14ac:dyDescent="0.25">
      <c r="B23" s="1" t="s">
        <v>123</v>
      </c>
      <c r="C23" s="4" t="s">
        <v>67</v>
      </c>
      <c r="D23" s="4">
        <v>111101</v>
      </c>
      <c r="E23" s="4" t="s">
        <v>0</v>
      </c>
      <c r="F23" s="12">
        <v>304303.86000000004</v>
      </c>
      <c r="G23" s="4">
        <v>2042000000</v>
      </c>
    </row>
    <row r="24" spans="2:7" x14ac:dyDescent="0.25">
      <c r="B24" s="1" t="s">
        <v>125</v>
      </c>
      <c r="C24" s="4" t="s">
        <v>68</v>
      </c>
      <c r="D24" s="4">
        <v>111101</v>
      </c>
      <c r="E24" s="4" t="s">
        <v>0</v>
      </c>
      <c r="F24" s="12">
        <v>500500</v>
      </c>
      <c r="G24" s="4">
        <v>2045000000</v>
      </c>
    </row>
    <row r="25" spans="2:7" x14ac:dyDescent="0.25">
      <c r="B25" s="1" t="s">
        <v>176</v>
      </c>
      <c r="C25" s="4" t="s">
        <v>14</v>
      </c>
      <c r="D25" s="4">
        <v>111101</v>
      </c>
      <c r="E25" s="4" t="s">
        <v>0</v>
      </c>
      <c r="F25" s="12">
        <v>6919.8499999999995</v>
      </c>
      <c r="G25" s="4">
        <v>2049000000</v>
      </c>
    </row>
    <row r="26" spans="2:7" x14ac:dyDescent="0.25">
      <c r="B26" s="1" t="s">
        <v>126</v>
      </c>
      <c r="C26" s="4" t="s">
        <v>69</v>
      </c>
      <c r="D26" s="4">
        <v>111101</v>
      </c>
      <c r="E26" s="4" t="s">
        <v>0</v>
      </c>
      <c r="F26" s="12">
        <v>1897676.87</v>
      </c>
      <c r="G26" s="4">
        <v>2051210000</v>
      </c>
    </row>
    <row r="27" spans="2:7" x14ac:dyDescent="0.25">
      <c r="B27" s="1" t="s">
        <v>177</v>
      </c>
      <c r="C27" s="4" t="s">
        <v>69</v>
      </c>
      <c r="D27" s="4">
        <v>111101</v>
      </c>
      <c r="E27" s="4" t="s">
        <v>0</v>
      </c>
      <c r="F27" s="12">
        <v>146328.94499999998</v>
      </c>
      <c r="G27" s="4">
        <v>2051260000</v>
      </c>
    </row>
    <row r="28" spans="2:7" x14ac:dyDescent="0.25">
      <c r="B28" s="1" t="s">
        <v>178</v>
      </c>
      <c r="C28" s="4" t="s">
        <v>15</v>
      </c>
      <c r="D28" s="4">
        <v>111111</v>
      </c>
      <c r="E28" s="4" t="s">
        <v>99</v>
      </c>
      <c r="F28" s="12">
        <v>-121553.07499999998</v>
      </c>
      <c r="G28" s="4">
        <v>2060220000</v>
      </c>
    </row>
    <row r="29" spans="2:7" x14ac:dyDescent="0.25">
      <c r="B29" s="1" t="s">
        <v>128</v>
      </c>
      <c r="C29" s="4" t="s">
        <v>70</v>
      </c>
      <c r="D29" s="4" t="s">
        <v>3</v>
      </c>
      <c r="E29" s="4" t="s">
        <v>38</v>
      </c>
      <c r="F29" s="12">
        <v>-1643711.145</v>
      </c>
      <c r="G29" s="4">
        <v>2069010000</v>
      </c>
    </row>
    <row r="30" spans="2:7" x14ac:dyDescent="0.25">
      <c r="B30" s="1" t="s">
        <v>179</v>
      </c>
      <c r="C30" s="4" t="s">
        <v>70</v>
      </c>
      <c r="D30" s="4">
        <v>19</v>
      </c>
      <c r="E30" s="4" t="s">
        <v>39</v>
      </c>
      <c r="F30" s="12">
        <v>-416278.66</v>
      </c>
      <c r="G30" s="4">
        <v>2069010000</v>
      </c>
    </row>
    <row r="31" spans="2:7" x14ac:dyDescent="0.25">
      <c r="B31" s="1" t="s">
        <v>180</v>
      </c>
      <c r="C31" s="4" t="s">
        <v>70</v>
      </c>
      <c r="D31" s="4" t="s">
        <v>16</v>
      </c>
      <c r="E31" s="4" t="s">
        <v>49</v>
      </c>
      <c r="F31" s="12">
        <v>-364243.84499999997</v>
      </c>
      <c r="G31" s="4">
        <v>2069010000</v>
      </c>
    </row>
    <row r="32" spans="2:7" x14ac:dyDescent="0.25">
      <c r="B32" s="1" t="s">
        <v>181</v>
      </c>
      <c r="C32" s="4" t="s">
        <v>70</v>
      </c>
      <c r="D32" s="4" t="s">
        <v>10</v>
      </c>
      <c r="E32" s="4" t="s">
        <v>45</v>
      </c>
      <c r="F32" s="12">
        <v>0</v>
      </c>
      <c r="G32" s="4">
        <v>2069010000</v>
      </c>
    </row>
    <row r="33" spans="2:7" x14ac:dyDescent="0.25">
      <c r="B33" s="1" t="s">
        <v>132</v>
      </c>
      <c r="C33" s="4" t="s">
        <v>70</v>
      </c>
      <c r="D33" s="4">
        <v>1009</v>
      </c>
      <c r="E33" s="4" t="s">
        <v>33</v>
      </c>
      <c r="F33" s="12">
        <v>0</v>
      </c>
      <c r="G33" s="4">
        <v>2069010000</v>
      </c>
    </row>
    <row r="34" spans="2:7" x14ac:dyDescent="0.25">
      <c r="B34" s="1" t="s">
        <v>133</v>
      </c>
      <c r="C34" s="4" t="s">
        <v>70</v>
      </c>
      <c r="D34" s="4">
        <v>1007</v>
      </c>
      <c r="E34" s="4" t="s">
        <v>35</v>
      </c>
      <c r="F34" s="12">
        <v>0</v>
      </c>
      <c r="G34" s="4">
        <v>2069010000</v>
      </c>
    </row>
    <row r="35" spans="2:7" x14ac:dyDescent="0.25">
      <c r="B35" s="1" t="s">
        <v>134</v>
      </c>
      <c r="C35" s="4" t="s">
        <v>70</v>
      </c>
      <c r="D35" s="4">
        <v>1008</v>
      </c>
      <c r="E35" s="4" t="s">
        <v>37</v>
      </c>
      <c r="F35" s="12">
        <v>0</v>
      </c>
      <c r="G35" s="4">
        <v>2069010000</v>
      </c>
    </row>
    <row r="36" spans="2:7" x14ac:dyDescent="0.25">
      <c r="B36" s="1" t="s">
        <v>135</v>
      </c>
      <c r="C36" s="4" t="s">
        <v>70</v>
      </c>
      <c r="D36" s="4">
        <v>1240</v>
      </c>
      <c r="E36" s="4" t="s">
        <v>42</v>
      </c>
      <c r="F36" s="12">
        <v>-10461.36</v>
      </c>
      <c r="G36" s="4">
        <v>2069010000</v>
      </c>
    </row>
    <row r="37" spans="2:7" x14ac:dyDescent="0.25">
      <c r="B37" s="1" t="s">
        <v>133</v>
      </c>
      <c r="C37" s="4" t="s">
        <v>70</v>
      </c>
      <c r="D37" s="4">
        <v>1007</v>
      </c>
      <c r="E37" s="4" t="s">
        <v>36</v>
      </c>
      <c r="F37" s="12">
        <v>0</v>
      </c>
      <c r="G37" s="4">
        <v>2069010000</v>
      </c>
    </row>
    <row r="38" spans="2:7" x14ac:dyDescent="0.25">
      <c r="B38" s="1" t="s">
        <v>182</v>
      </c>
      <c r="C38" s="4" t="s">
        <v>70</v>
      </c>
      <c r="D38" s="4" t="s">
        <v>17</v>
      </c>
      <c r="E38" s="4" t="s">
        <v>50</v>
      </c>
      <c r="F38" s="12">
        <v>-482611.04499999998</v>
      </c>
      <c r="G38" s="4">
        <v>2069010000</v>
      </c>
    </row>
    <row r="39" spans="2:7" x14ac:dyDescent="0.25">
      <c r="B39" s="1" t="s">
        <v>136</v>
      </c>
      <c r="C39" s="4" t="s">
        <v>70</v>
      </c>
      <c r="D39" s="4">
        <v>111111</v>
      </c>
      <c r="E39" s="4" t="s">
        <v>99</v>
      </c>
      <c r="F39" s="12">
        <v>-6785.94</v>
      </c>
      <c r="G39" s="4">
        <v>2069010000</v>
      </c>
    </row>
    <row r="40" spans="2:7" x14ac:dyDescent="0.25">
      <c r="B40" s="1" t="s">
        <v>183</v>
      </c>
      <c r="C40" s="4" t="s">
        <v>71</v>
      </c>
      <c r="D40" s="4">
        <v>88</v>
      </c>
      <c r="E40" s="4" t="s">
        <v>30</v>
      </c>
      <c r="F40" s="12">
        <v>-2436.35</v>
      </c>
      <c r="G40" s="4">
        <v>2069980000</v>
      </c>
    </row>
    <row r="41" spans="2:7" x14ac:dyDescent="0.25">
      <c r="B41" s="1" t="s">
        <v>137</v>
      </c>
      <c r="C41" s="4" t="s">
        <v>71</v>
      </c>
      <c r="D41" s="4">
        <v>111111</v>
      </c>
      <c r="E41" s="4" t="s">
        <v>99</v>
      </c>
      <c r="F41" s="12">
        <v>9793.84</v>
      </c>
      <c r="G41" s="4">
        <v>2069980000</v>
      </c>
    </row>
    <row r="42" spans="2:7" x14ac:dyDescent="0.25">
      <c r="B42" s="1" t="s">
        <v>184</v>
      </c>
      <c r="C42" s="4" t="s">
        <v>18</v>
      </c>
      <c r="D42" s="4">
        <v>111101</v>
      </c>
      <c r="E42" s="4" t="s">
        <v>0</v>
      </c>
      <c r="F42" s="12">
        <v>81.339999999999989</v>
      </c>
      <c r="G42" s="4">
        <v>2070290000</v>
      </c>
    </row>
    <row r="43" spans="2:7" x14ac:dyDescent="0.25">
      <c r="B43" s="1" t="s">
        <v>138</v>
      </c>
      <c r="C43" s="4" t="s">
        <v>72</v>
      </c>
      <c r="D43" s="4">
        <v>111111</v>
      </c>
      <c r="E43" s="4" t="s">
        <v>99</v>
      </c>
      <c r="F43" s="12">
        <v>65947.7</v>
      </c>
      <c r="G43" s="4">
        <v>2070400000</v>
      </c>
    </row>
    <row r="44" spans="2:7" x14ac:dyDescent="0.25">
      <c r="B44" s="1" t="s">
        <v>140</v>
      </c>
      <c r="C44" s="4" t="s">
        <v>73</v>
      </c>
      <c r="D44" s="4">
        <v>111111</v>
      </c>
      <c r="E44" s="4" t="s">
        <v>99</v>
      </c>
      <c r="F44" s="12">
        <v>5138.91</v>
      </c>
      <c r="G44" s="4">
        <v>2070500000</v>
      </c>
    </row>
    <row r="45" spans="2:7" x14ac:dyDescent="0.25">
      <c r="B45" s="1" t="s">
        <v>141</v>
      </c>
      <c r="C45" s="4" t="s">
        <v>74</v>
      </c>
      <c r="D45" s="4">
        <v>111111</v>
      </c>
      <c r="E45" s="4" t="s">
        <v>99</v>
      </c>
      <c r="F45" s="12">
        <v>1055381.4750000001</v>
      </c>
      <c r="G45" s="4">
        <v>2070600000</v>
      </c>
    </row>
    <row r="46" spans="2:7" x14ac:dyDescent="0.25">
      <c r="B46" s="1" t="s">
        <v>143</v>
      </c>
      <c r="C46" s="4" t="s">
        <v>75</v>
      </c>
      <c r="D46" s="4" t="s">
        <v>6</v>
      </c>
      <c r="E46" s="4" t="s">
        <v>41</v>
      </c>
      <c r="F46" s="12">
        <v>430845.34499999997</v>
      </c>
      <c r="G46" s="4">
        <v>2070900000</v>
      </c>
    </row>
    <row r="47" spans="2:7" x14ac:dyDescent="0.25">
      <c r="B47" s="1" t="s">
        <v>185</v>
      </c>
      <c r="C47" s="4" t="s">
        <v>75</v>
      </c>
      <c r="D47" s="4">
        <v>105</v>
      </c>
      <c r="E47" s="4" t="s">
        <v>31</v>
      </c>
      <c r="F47" s="12">
        <v>276920</v>
      </c>
      <c r="G47" s="4">
        <v>2070900000</v>
      </c>
    </row>
    <row r="48" spans="2:7" x14ac:dyDescent="0.25">
      <c r="B48" s="1" t="s">
        <v>144</v>
      </c>
      <c r="C48" s="4" t="s">
        <v>75</v>
      </c>
      <c r="D48" s="4">
        <v>111111</v>
      </c>
      <c r="E48" s="4" t="s">
        <v>99</v>
      </c>
      <c r="F48" s="12">
        <v>1130021</v>
      </c>
      <c r="G48" s="4">
        <v>2070900000</v>
      </c>
    </row>
    <row r="49" spans="2:7" x14ac:dyDescent="0.25">
      <c r="B49" s="1" t="s">
        <v>145</v>
      </c>
      <c r="C49" s="4" t="s">
        <v>7</v>
      </c>
      <c r="D49" s="4">
        <v>111111</v>
      </c>
      <c r="E49" s="4" t="s">
        <v>99</v>
      </c>
      <c r="F49" s="12">
        <v>7293.5450000000001</v>
      </c>
      <c r="G49" s="4">
        <v>2071000000</v>
      </c>
    </row>
    <row r="50" spans="2:7" x14ac:dyDescent="0.25">
      <c r="B50" s="1" t="s">
        <v>186</v>
      </c>
      <c r="C50" s="4" t="s">
        <v>76</v>
      </c>
      <c r="D50" s="4">
        <v>1900</v>
      </c>
      <c r="E50" s="4" t="s">
        <v>51</v>
      </c>
      <c r="F50" s="12">
        <v>0</v>
      </c>
      <c r="G50" s="4">
        <v>2071100000</v>
      </c>
    </row>
    <row r="51" spans="2:7" x14ac:dyDescent="0.25">
      <c r="B51" s="1" t="s">
        <v>146</v>
      </c>
      <c r="C51" s="4" t="s">
        <v>76</v>
      </c>
      <c r="D51" s="4">
        <v>111111</v>
      </c>
      <c r="E51" s="4" t="s">
        <v>99</v>
      </c>
      <c r="F51" s="12">
        <v>48468.665000000001</v>
      </c>
      <c r="G51" s="4">
        <v>2071100000</v>
      </c>
    </row>
    <row r="52" spans="2:7" x14ac:dyDescent="0.25">
      <c r="B52" s="1" t="s">
        <v>187</v>
      </c>
      <c r="C52" s="4" t="s">
        <v>8</v>
      </c>
      <c r="D52" s="4" t="s">
        <v>19</v>
      </c>
      <c r="E52" s="4" t="s">
        <v>53</v>
      </c>
      <c r="F52" s="12">
        <v>23928.799999999999</v>
      </c>
      <c r="G52" s="4">
        <v>2071209200</v>
      </c>
    </row>
    <row r="53" spans="2:7" x14ac:dyDescent="0.25">
      <c r="B53" s="1" t="s">
        <v>147</v>
      </c>
      <c r="C53" s="4" t="s">
        <v>8</v>
      </c>
      <c r="D53" s="4">
        <v>111111</v>
      </c>
      <c r="E53" s="4" t="s">
        <v>99</v>
      </c>
      <c r="F53" s="12">
        <v>2393259.19</v>
      </c>
      <c r="G53" s="4">
        <v>2071209200</v>
      </c>
    </row>
    <row r="54" spans="2:7" x14ac:dyDescent="0.25">
      <c r="B54" s="1" t="s">
        <v>148</v>
      </c>
      <c r="C54" s="4" t="s">
        <v>77</v>
      </c>
      <c r="D54" s="4">
        <v>111111</v>
      </c>
      <c r="E54" s="4" t="s">
        <v>99</v>
      </c>
      <c r="F54" s="12">
        <v>23069.654999999999</v>
      </c>
      <c r="G54" s="4">
        <v>2071209400</v>
      </c>
    </row>
    <row r="55" spans="2:7" x14ac:dyDescent="0.25">
      <c r="B55" s="1" t="s">
        <v>149</v>
      </c>
      <c r="C55" s="4" t="s">
        <v>78</v>
      </c>
      <c r="D55" s="4">
        <v>111111</v>
      </c>
      <c r="E55" s="4" t="s">
        <v>99</v>
      </c>
      <c r="F55" s="12">
        <v>208366.935</v>
      </c>
      <c r="G55" s="4">
        <v>2071209500</v>
      </c>
    </row>
    <row r="56" spans="2:7" x14ac:dyDescent="0.25">
      <c r="B56" s="1" t="s">
        <v>188</v>
      </c>
      <c r="C56" s="4" t="s">
        <v>20</v>
      </c>
      <c r="D56" s="4">
        <v>111111</v>
      </c>
      <c r="E56" s="4" t="s">
        <v>99</v>
      </c>
      <c r="F56" s="12">
        <v>308232</v>
      </c>
      <c r="G56" s="4">
        <v>2071220000</v>
      </c>
    </row>
    <row r="57" spans="2:7" x14ac:dyDescent="0.25">
      <c r="B57" s="1" t="s">
        <v>189</v>
      </c>
      <c r="C57" s="4" t="s">
        <v>21</v>
      </c>
      <c r="D57" s="4">
        <v>19</v>
      </c>
      <c r="E57" s="4" t="s">
        <v>39</v>
      </c>
      <c r="F57" s="12">
        <v>13422.779999999999</v>
      </c>
      <c r="G57" s="4">
        <v>2071511000</v>
      </c>
    </row>
    <row r="58" spans="2:7" x14ac:dyDescent="0.25">
      <c r="B58" s="1" t="s">
        <v>190</v>
      </c>
      <c r="C58" s="4" t="s">
        <v>21</v>
      </c>
      <c r="D58" s="4">
        <v>111111</v>
      </c>
      <c r="E58" s="4" t="s">
        <v>99</v>
      </c>
      <c r="F58" s="12">
        <v>4045.6150000000002</v>
      </c>
      <c r="G58" s="4">
        <v>2071511000</v>
      </c>
    </row>
    <row r="59" spans="2:7" x14ac:dyDescent="0.25">
      <c r="B59" s="1" t="s">
        <v>191</v>
      </c>
      <c r="C59" s="4" t="s">
        <v>22</v>
      </c>
      <c r="D59" s="4">
        <v>111111</v>
      </c>
      <c r="E59" s="4" t="s">
        <v>99</v>
      </c>
      <c r="F59" s="12">
        <v>49621.144999999997</v>
      </c>
      <c r="G59" s="4">
        <v>2071910000</v>
      </c>
    </row>
    <row r="60" spans="2:7" x14ac:dyDescent="0.25">
      <c r="B60" s="1" t="s">
        <v>150</v>
      </c>
      <c r="C60" s="4" t="s">
        <v>79</v>
      </c>
      <c r="D60" s="4">
        <v>111101</v>
      </c>
      <c r="E60" s="4" t="s">
        <v>0</v>
      </c>
      <c r="F60" s="12">
        <v>20323.309999999998</v>
      </c>
      <c r="G60" s="4">
        <v>2071980000</v>
      </c>
    </row>
    <row r="61" spans="2:7" x14ac:dyDescent="0.25">
      <c r="B61" s="1" t="s">
        <v>151</v>
      </c>
      <c r="C61" s="4" t="s">
        <v>80</v>
      </c>
      <c r="D61" s="4">
        <v>111111</v>
      </c>
      <c r="E61" s="4" t="s">
        <v>99</v>
      </c>
      <c r="F61" s="12">
        <v>169489</v>
      </c>
      <c r="G61" s="4">
        <v>2079022000</v>
      </c>
    </row>
    <row r="62" spans="2:7" x14ac:dyDescent="0.25">
      <c r="B62" s="1" t="s">
        <v>192</v>
      </c>
      <c r="C62" s="4" t="s">
        <v>81</v>
      </c>
      <c r="D62" s="4">
        <v>19</v>
      </c>
      <c r="E62" s="4" t="s">
        <v>39</v>
      </c>
      <c r="F62" s="12">
        <v>85462.684999999998</v>
      </c>
      <c r="G62" s="4">
        <v>2079070000</v>
      </c>
    </row>
    <row r="63" spans="2:7" x14ac:dyDescent="0.25">
      <c r="B63" s="1" t="s">
        <v>193</v>
      </c>
      <c r="C63" s="4" t="s">
        <v>81</v>
      </c>
      <c r="D63" s="4" t="s">
        <v>5</v>
      </c>
      <c r="E63" s="4" t="s">
        <v>40</v>
      </c>
      <c r="F63" s="12">
        <v>11422.144999999999</v>
      </c>
      <c r="G63" s="4">
        <v>2079070000</v>
      </c>
    </row>
    <row r="64" spans="2:7" x14ac:dyDescent="0.25">
      <c r="B64" s="1" t="s">
        <v>194</v>
      </c>
      <c r="C64" s="4" t="s">
        <v>81</v>
      </c>
      <c r="D64" s="4" t="s">
        <v>12</v>
      </c>
      <c r="E64" s="4" t="s">
        <v>34</v>
      </c>
      <c r="F64" s="12">
        <v>84438.864999999991</v>
      </c>
      <c r="G64" s="4">
        <v>2079070000</v>
      </c>
    </row>
    <row r="65" spans="2:7" x14ac:dyDescent="0.25">
      <c r="B65" s="1" t="s">
        <v>153</v>
      </c>
      <c r="C65" s="4" t="s">
        <v>81</v>
      </c>
      <c r="D65" s="4">
        <v>111111</v>
      </c>
      <c r="E65" s="4" t="s">
        <v>99</v>
      </c>
      <c r="F65" s="12">
        <v>638869.13</v>
      </c>
      <c r="G65" s="4">
        <v>2079070000</v>
      </c>
    </row>
    <row r="66" spans="2:7" x14ac:dyDescent="0.25">
      <c r="B66" s="1" t="s">
        <v>195</v>
      </c>
      <c r="C66" s="4" t="s">
        <v>82</v>
      </c>
      <c r="D66" s="4" t="s">
        <v>10</v>
      </c>
      <c r="E66" s="4" t="s">
        <v>45</v>
      </c>
      <c r="F66" s="12">
        <v>0</v>
      </c>
      <c r="G66" s="4">
        <v>2079080000</v>
      </c>
    </row>
    <row r="67" spans="2:7" x14ac:dyDescent="0.25">
      <c r="B67" s="1" t="s">
        <v>155</v>
      </c>
      <c r="C67" s="4" t="s">
        <v>82</v>
      </c>
      <c r="D67" s="4">
        <v>1007</v>
      </c>
      <c r="E67" s="4" t="s">
        <v>35</v>
      </c>
      <c r="F67" s="12">
        <v>0</v>
      </c>
      <c r="G67" s="4">
        <v>2079080000</v>
      </c>
    </row>
    <row r="68" spans="2:7" x14ac:dyDescent="0.25">
      <c r="B68" s="1" t="s">
        <v>156</v>
      </c>
      <c r="C68" s="4" t="s">
        <v>82</v>
      </c>
      <c r="D68" s="4">
        <v>1008</v>
      </c>
      <c r="E68" s="4" t="s">
        <v>37</v>
      </c>
      <c r="F68" s="12">
        <v>0</v>
      </c>
      <c r="G68" s="4">
        <v>2079080000</v>
      </c>
    </row>
    <row r="69" spans="2:7" x14ac:dyDescent="0.25">
      <c r="B69" s="1" t="s">
        <v>196</v>
      </c>
      <c r="C69" s="4" t="s">
        <v>83</v>
      </c>
      <c r="D69" s="4" t="s">
        <v>10</v>
      </c>
      <c r="E69" s="4" t="s">
        <v>45</v>
      </c>
      <c r="F69" s="12">
        <v>0</v>
      </c>
      <c r="G69" s="4">
        <v>2082280000</v>
      </c>
    </row>
    <row r="70" spans="2:7" x14ac:dyDescent="0.25">
      <c r="B70" s="1" t="s">
        <v>157</v>
      </c>
      <c r="C70" s="4" t="s">
        <v>83</v>
      </c>
      <c r="D70" s="4">
        <v>1009</v>
      </c>
      <c r="E70" s="4" t="s">
        <v>33</v>
      </c>
      <c r="F70" s="12">
        <v>0</v>
      </c>
      <c r="G70" s="4">
        <v>2082280000</v>
      </c>
    </row>
    <row r="71" spans="2:7" x14ac:dyDescent="0.25">
      <c r="B71" s="1" t="s">
        <v>158</v>
      </c>
      <c r="C71" s="4" t="s">
        <v>83</v>
      </c>
      <c r="D71" s="4">
        <v>1007</v>
      </c>
      <c r="E71" s="4" t="s">
        <v>35</v>
      </c>
      <c r="F71" s="12">
        <v>0</v>
      </c>
      <c r="G71" s="4">
        <v>2082280000</v>
      </c>
    </row>
    <row r="72" spans="2:7" x14ac:dyDescent="0.25">
      <c r="B72" s="1" t="s">
        <v>159</v>
      </c>
      <c r="C72" s="4" t="s">
        <v>83</v>
      </c>
      <c r="D72" s="4">
        <v>1008</v>
      </c>
      <c r="E72" s="4" t="s">
        <v>37</v>
      </c>
      <c r="F72" s="12">
        <v>0</v>
      </c>
      <c r="G72" s="4">
        <v>2082280000</v>
      </c>
    </row>
    <row r="73" spans="2:7" x14ac:dyDescent="0.25">
      <c r="B73" s="1" t="s">
        <v>160</v>
      </c>
      <c r="C73" s="4" t="s">
        <v>83</v>
      </c>
      <c r="D73" s="4">
        <v>1240</v>
      </c>
      <c r="E73" s="4" t="s">
        <v>42</v>
      </c>
      <c r="F73" s="12">
        <v>-34224.959999999999</v>
      </c>
      <c r="G73" s="4">
        <v>2082280000</v>
      </c>
    </row>
    <row r="74" spans="2:7" x14ac:dyDescent="0.25">
      <c r="B74" s="1" t="s">
        <v>197</v>
      </c>
      <c r="C74" s="4" t="s">
        <v>83</v>
      </c>
      <c r="D74" s="4">
        <v>1006</v>
      </c>
      <c r="E74" s="4" t="s">
        <v>52</v>
      </c>
      <c r="F74" s="12">
        <v>-6778.415</v>
      </c>
      <c r="G74" s="4">
        <v>2082280000</v>
      </c>
    </row>
    <row r="75" spans="2:7" x14ac:dyDescent="0.25">
      <c r="B75" s="1" t="s">
        <v>158</v>
      </c>
      <c r="C75" s="4" t="s">
        <v>83</v>
      </c>
      <c r="D75" s="4">
        <v>1007</v>
      </c>
      <c r="E75" s="4" t="s">
        <v>36</v>
      </c>
      <c r="F75" s="12">
        <v>0</v>
      </c>
      <c r="G75" s="4">
        <v>2082280000</v>
      </c>
    </row>
    <row r="76" spans="2:7" x14ac:dyDescent="0.25">
      <c r="B76" s="1" t="s">
        <v>161</v>
      </c>
      <c r="C76" s="4" t="s">
        <v>83</v>
      </c>
      <c r="D76" s="4">
        <v>111111</v>
      </c>
      <c r="E76" s="4" t="s">
        <v>99</v>
      </c>
      <c r="F76" s="12">
        <v>-2204.7199999999998</v>
      </c>
      <c r="G76" s="4">
        <v>2082280000</v>
      </c>
    </row>
    <row r="77" spans="2:7" x14ac:dyDescent="0.25">
      <c r="B77" s="1" t="s">
        <v>163</v>
      </c>
      <c r="C77" s="4" t="s">
        <v>84</v>
      </c>
      <c r="D77" s="4">
        <v>111101</v>
      </c>
      <c r="E77" s="4" t="s">
        <v>0</v>
      </c>
      <c r="F77" s="12">
        <v>80617.179999999993</v>
      </c>
      <c r="G77" s="4">
        <v>2082208200</v>
      </c>
    </row>
    <row r="78" spans="2:7" x14ac:dyDescent="0.25">
      <c r="B78" s="1" t="s">
        <v>164</v>
      </c>
      <c r="C78" s="4" t="s">
        <v>85</v>
      </c>
      <c r="D78" s="4">
        <v>88</v>
      </c>
      <c r="E78" s="4" t="s">
        <v>30</v>
      </c>
      <c r="F78" s="12">
        <v>2752704.22</v>
      </c>
      <c r="G78" s="4">
        <v>2082214000</v>
      </c>
    </row>
    <row r="79" spans="2:7" x14ac:dyDescent="0.25">
      <c r="B79" s="1" t="s">
        <v>198</v>
      </c>
      <c r="C79" s="4" t="s">
        <v>85</v>
      </c>
      <c r="D79" s="4">
        <v>1007</v>
      </c>
      <c r="E79" s="4" t="s">
        <v>36</v>
      </c>
      <c r="F79" s="12">
        <v>0</v>
      </c>
      <c r="G79" s="4">
        <v>2082214000</v>
      </c>
    </row>
    <row r="80" spans="2:7" x14ac:dyDescent="0.25">
      <c r="B80" s="1" t="s">
        <v>199</v>
      </c>
      <c r="C80" s="4" t="s">
        <v>85</v>
      </c>
      <c r="D80" s="4">
        <v>111111</v>
      </c>
      <c r="E80" s="4" t="s">
        <v>99</v>
      </c>
      <c r="F80" s="12">
        <v>1250.7950000000001</v>
      </c>
      <c r="G80" s="4">
        <v>2082214000</v>
      </c>
    </row>
    <row r="81" spans="2:7" x14ac:dyDescent="0.25">
      <c r="B81" s="1" t="s">
        <v>200</v>
      </c>
      <c r="C81" s="4" t="s">
        <v>102</v>
      </c>
      <c r="D81" s="4">
        <v>1240</v>
      </c>
      <c r="E81" s="4" t="s">
        <v>42</v>
      </c>
      <c r="F81" s="12">
        <v>4130000</v>
      </c>
      <c r="G81" s="4">
        <v>2082110000</v>
      </c>
    </row>
    <row r="82" spans="2:7" x14ac:dyDescent="0.25">
      <c r="B82" s="1" t="s">
        <v>165</v>
      </c>
      <c r="C82" s="4" t="s">
        <v>86</v>
      </c>
      <c r="D82" s="4">
        <v>111101</v>
      </c>
      <c r="E82" s="4" t="s">
        <v>0</v>
      </c>
      <c r="F82" s="12">
        <v>496748.70000000007</v>
      </c>
      <c r="G82" s="4">
        <v>2091200000</v>
      </c>
    </row>
    <row r="83" spans="2:7" x14ac:dyDescent="0.25">
      <c r="B83" s="1" t="s">
        <v>166</v>
      </c>
      <c r="C83" s="4" t="s">
        <v>87</v>
      </c>
      <c r="D83" s="4">
        <v>111101</v>
      </c>
      <c r="E83" s="4" t="s">
        <v>0</v>
      </c>
      <c r="F83" s="12">
        <v>480872.96000000002</v>
      </c>
      <c r="G83" s="4">
        <v>2091200001</v>
      </c>
    </row>
    <row r="84" spans="2:7" x14ac:dyDescent="0.25">
      <c r="B84" s="1" t="s">
        <v>201</v>
      </c>
      <c r="C84" s="4" t="s">
        <v>23</v>
      </c>
      <c r="D84" s="4">
        <v>111101</v>
      </c>
      <c r="E84" s="4" t="s">
        <v>0</v>
      </c>
      <c r="F84" s="12">
        <v>0</v>
      </c>
      <c r="G84" s="4">
        <v>2091900000</v>
      </c>
    </row>
    <row r="85" spans="2:7" x14ac:dyDescent="0.25">
      <c r="B85" s="1" t="s">
        <v>167</v>
      </c>
      <c r="C85" s="4" t="s">
        <v>88</v>
      </c>
      <c r="D85" s="4">
        <v>111101</v>
      </c>
      <c r="E85" s="4" t="s">
        <v>0</v>
      </c>
      <c r="F85" s="12">
        <v>6570.3050000000003</v>
      </c>
      <c r="G85" s="4">
        <v>2092200000</v>
      </c>
    </row>
    <row r="86" spans="2:7" x14ac:dyDescent="0.25">
      <c r="B86" s="1" t="s">
        <v>202</v>
      </c>
      <c r="C86" s="14" t="s">
        <v>61</v>
      </c>
      <c r="D86" s="14">
        <v>111101</v>
      </c>
      <c r="E86" s="14" t="s">
        <v>0</v>
      </c>
      <c r="F86" s="15">
        <v>6073808.1600000001</v>
      </c>
      <c r="G86" s="14">
        <v>2111111999</v>
      </c>
    </row>
    <row r="87" spans="2:7" x14ac:dyDescent="0.25">
      <c r="D87" s="4"/>
    </row>
    <row r="88" spans="2:7" x14ac:dyDescent="0.25">
      <c r="D88" s="4"/>
    </row>
    <row r="89" spans="2:7" x14ac:dyDescent="0.25">
      <c r="D89" s="4"/>
    </row>
    <row r="90" spans="2:7" x14ac:dyDescent="0.25">
      <c r="D90" s="4"/>
    </row>
    <row r="91" spans="2:7" x14ac:dyDescent="0.25">
      <c r="D91" s="4"/>
    </row>
    <row r="92" spans="2:7" x14ac:dyDescent="0.25">
      <c r="D92" s="4"/>
    </row>
    <row r="93" spans="2:7" x14ac:dyDescent="0.25">
      <c r="D93" s="4"/>
    </row>
    <row r="94" spans="2:7" x14ac:dyDescent="0.25">
      <c r="D94" s="4"/>
    </row>
    <row r="95" spans="2:7" x14ac:dyDescent="0.25">
      <c r="D95" s="4"/>
    </row>
    <row r="96" spans="2:7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25" defaultRowHeight="15" x14ac:dyDescent="0.25"/>
  <cols>
    <col min="1" max="1" width="2" style="1" customWidth="1"/>
    <col min="2" max="2" width="9.125" style="1"/>
    <col min="3" max="3" width="29.5" style="1" customWidth="1"/>
    <col min="4" max="4" width="22.125" style="1" customWidth="1"/>
    <col min="5" max="5" width="30.875" style="1" bestFit="1" customWidth="1"/>
    <col min="6" max="6" width="11.5" style="1" bestFit="1" customWidth="1"/>
    <col min="7" max="7" width="12" style="1" bestFit="1" customWidth="1"/>
    <col min="9" max="16384" width="9.125" style="1"/>
  </cols>
  <sheetData>
    <row r="1" spans="2:7" ht="15.75" x14ac:dyDescent="0.25">
      <c r="B1" s="2" t="s">
        <v>110</v>
      </c>
    </row>
    <row r="4" spans="2:7" x14ac:dyDescent="0.25">
      <c r="B4" s="1" t="s">
        <v>111</v>
      </c>
      <c r="C4" s="19" t="s">
        <v>95</v>
      </c>
      <c r="D4" s="19" t="s">
        <v>29</v>
      </c>
      <c r="E4" s="19" t="s">
        <v>96</v>
      </c>
      <c r="F4" s="19" t="s">
        <v>97</v>
      </c>
      <c r="G4" s="19" t="s">
        <v>98</v>
      </c>
    </row>
    <row r="5" spans="2:7" x14ac:dyDescent="0.25">
      <c r="B5" s="1" t="s">
        <v>169</v>
      </c>
      <c r="C5" s="4" t="s">
        <v>62</v>
      </c>
      <c r="D5" s="4">
        <v>105</v>
      </c>
      <c r="E5" s="4" t="s">
        <v>31</v>
      </c>
      <c r="F5" s="16">
        <v>-616462.01899999997</v>
      </c>
      <c r="G5" s="4">
        <v>2001110000</v>
      </c>
    </row>
    <row r="6" spans="2:7" x14ac:dyDescent="0.25">
      <c r="B6" s="1" t="s">
        <v>112</v>
      </c>
      <c r="C6" s="1" t="s">
        <v>62</v>
      </c>
      <c r="D6" s="4">
        <v>111111</v>
      </c>
      <c r="E6" s="1" t="s">
        <v>99</v>
      </c>
      <c r="F6" s="17">
        <v>-14431341</v>
      </c>
      <c r="G6" s="13">
        <v>2001110000</v>
      </c>
    </row>
    <row r="7" spans="2:7" x14ac:dyDescent="0.25">
      <c r="B7" s="1" t="s">
        <v>113</v>
      </c>
      <c r="C7" s="4" t="s">
        <v>63</v>
      </c>
      <c r="D7" s="4">
        <v>111111</v>
      </c>
      <c r="E7" s="4" t="s">
        <v>99</v>
      </c>
      <c r="F7" s="12">
        <v>-6373617.5140000004</v>
      </c>
      <c r="G7" s="4">
        <v>2001190000</v>
      </c>
    </row>
    <row r="8" spans="2:7" x14ac:dyDescent="0.25">
      <c r="B8" s="1" t="s">
        <v>171</v>
      </c>
      <c r="C8" s="4" t="s">
        <v>103</v>
      </c>
      <c r="D8" s="4">
        <v>111111</v>
      </c>
      <c r="E8" s="4" t="s">
        <v>99</v>
      </c>
      <c r="F8" s="12">
        <v>20504.509999999998</v>
      </c>
      <c r="G8" s="4">
        <v>2021210000</v>
      </c>
    </row>
    <row r="9" spans="2:7" x14ac:dyDescent="0.25">
      <c r="B9" s="1" t="s">
        <v>118</v>
      </c>
      <c r="C9" s="4" t="s">
        <v>100</v>
      </c>
      <c r="D9" s="4">
        <v>111111</v>
      </c>
      <c r="E9" s="4" t="s">
        <v>99</v>
      </c>
      <c r="F9" s="12">
        <v>5674152.0669999998</v>
      </c>
      <c r="G9" s="4">
        <v>2021900000</v>
      </c>
    </row>
    <row r="10" spans="2:7" x14ac:dyDescent="0.25">
      <c r="B10" s="1" t="s">
        <v>203</v>
      </c>
      <c r="C10" s="4" t="s">
        <v>24</v>
      </c>
      <c r="D10" s="4">
        <v>111111</v>
      </c>
      <c r="E10" s="4" t="s">
        <v>99</v>
      </c>
      <c r="F10" s="12">
        <v>13691.949999999999</v>
      </c>
      <c r="G10" s="4">
        <v>2024020000</v>
      </c>
    </row>
    <row r="11" spans="2:7" x14ac:dyDescent="0.25">
      <c r="B11" s="1" t="s">
        <v>119</v>
      </c>
      <c r="C11" s="4" t="s">
        <v>66</v>
      </c>
      <c r="D11" s="4">
        <v>111111</v>
      </c>
      <c r="E11" s="4" t="s">
        <v>99</v>
      </c>
      <c r="F11" s="12">
        <v>350370.99399999995</v>
      </c>
      <c r="G11" s="4">
        <v>2024080000</v>
      </c>
    </row>
    <row r="12" spans="2:7" x14ac:dyDescent="0.25">
      <c r="B12" s="1" t="s">
        <v>120</v>
      </c>
      <c r="C12" s="4" t="s">
        <v>65</v>
      </c>
      <c r="D12" s="4">
        <v>88</v>
      </c>
      <c r="E12" s="4" t="s">
        <v>30</v>
      </c>
      <c r="F12" s="12">
        <v>3116017.1540000001</v>
      </c>
      <c r="G12" s="4">
        <v>2024090000</v>
      </c>
    </row>
    <row r="13" spans="2:7" x14ac:dyDescent="0.25">
      <c r="B13" s="1" t="s">
        <v>173</v>
      </c>
      <c r="C13" s="4" t="s">
        <v>65</v>
      </c>
      <c r="D13" s="4" t="s">
        <v>11</v>
      </c>
      <c r="E13" s="4" t="s">
        <v>32</v>
      </c>
      <c r="F13" s="12">
        <v>0</v>
      </c>
      <c r="G13" s="4">
        <v>2024090000</v>
      </c>
    </row>
    <row r="14" spans="2:7" x14ac:dyDescent="0.25">
      <c r="B14" s="1" t="s">
        <v>174</v>
      </c>
      <c r="C14" s="4" t="s">
        <v>65</v>
      </c>
      <c r="D14" s="4" t="s">
        <v>12</v>
      </c>
      <c r="E14" s="4" t="s">
        <v>34</v>
      </c>
      <c r="F14" s="12">
        <v>673.34299999999985</v>
      </c>
      <c r="G14" s="4">
        <v>2024090000</v>
      </c>
    </row>
    <row r="15" spans="2:7" x14ac:dyDescent="0.25">
      <c r="B15" s="1" t="s">
        <v>204</v>
      </c>
      <c r="C15" s="4" t="s">
        <v>65</v>
      </c>
      <c r="D15" s="4" t="s">
        <v>25</v>
      </c>
      <c r="E15" s="4" t="s">
        <v>46</v>
      </c>
      <c r="F15" s="12">
        <v>192017.14499999996</v>
      </c>
      <c r="G15" s="4">
        <v>2024090000</v>
      </c>
    </row>
    <row r="16" spans="2:7" x14ac:dyDescent="0.25">
      <c r="B16" s="1" t="s">
        <v>205</v>
      </c>
      <c r="C16" s="4" t="s">
        <v>65</v>
      </c>
      <c r="D16" s="4" t="s">
        <v>6</v>
      </c>
      <c r="E16" s="4" t="s">
        <v>41</v>
      </c>
      <c r="F16" s="12">
        <v>375290.46599999996</v>
      </c>
      <c r="G16" s="4">
        <v>2024090000</v>
      </c>
    </row>
    <row r="17" spans="2:7" x14ac:dyDescent="0.25">
      <c r="B17" s="1" t="s">
        <v>206</v>
      </c>
      <c r="C17" s="4" t="s">
        <v>65</v>
      </c>
      <c r="D17" s="4">
        <v>17000</v>
      </c>
      <c r="E17" s="4" t="s">
        <v>48</v>
      </c>
      <c r="F17" s="12">
        <v>4920</v>
      </c>
      <c r="G17" s="4">
        <v>2024090000</v>
      </c>
    </row>
    <row r="18" spans="2:7" x14ac:dyDescent="0.25">
      <c r="B18" s="1" t="s">
        <v>121</v>
      </c>
      <c r="C18" s="4" t="s">
        <v>65</v>
      </c>
      <c r="D18" s="4">
        <v>111111</v>
      </c>
      <c r="E18" s="4" t="s">
        <v>99</v>
      </c>
      <c r="F18" s="12">
        <v>9783.7069999999985</v>
      </c>
      <c r="G18" s="4">
        <v>2024090000</v>
      </c>
    </row>
    <row r="19" spans="2:7" x14ac:dyDescent="0.25">
      <c r="B19" s="1" t="s">
        <v>122</v>
      </c>
      <c r="C19" s="4" t="s">
        <v>1</v>
      </c>
      <c r="D19" s="4">
        <v>111111</v>
      </c>
      <c r="E19" s="4" t="s">
        <v>99</v>
      </c>
      <c r="F19" s="12">
        <v>3982699.5329999998</v>
      </c>
      <c r="G19" s="4">
        <v>2041000000</v>
      </c>
    </row>
    <row r="20" spans="2:7" x14ac:dyDescent="0.25">
      <c r="B20" s="1" t="s">
        <v>123</v>
      </c>
      <c r="C20" s="4" t="s">
        <v>2</v>
      </c>
      <c r="D20" s="4">
        <v>111101</v>
      </c>
      <c r="E20" s="4" t="s">
        <v>0</v>
      </c>
      <c r="F20" s="12">
        <v>1420796.8209999998</v>
      </c>
      <c r="G20" s="4">
        <v>2042000000</v>
      </c>
    </row>
    <row r="21" spans="2:7" x14ac:dyDescent="0.25">
      <c r="B21" s="1" t="s">
        <v>123</v>
      </c>
      <c r="C21" s="4" t="s">
        <v>67</v>
      </c>
      <c r="D21" s="4">
        <v>111101</v>
      </c>
      <c r="E21" s="4" t="s">
        <v>0</v>
      </c>
      <c r="F21" s="12">
        <v>288891.82199999999</v>
      </c>
      <c r="G21" s="4">
        <v>2042000000</v>
      </c>
    </row>
    <row r="22" spans="2:7" x14ac:dyDescent="0.25">
      <c r="B22" s="1" t="s">
        <v>125</v>
      </c>
      <c r="C22" s="4" t="s">
        <v>68</v>
      </c>
      <c r="D22" s="4">
        <v>111101</v>
      </c>
      <c r="E22" s="4" t="s">
        <v>0</v>
      </c>
      <c r="F22" s="12">
        <v>143500</v>
      </c>
      <c r="G22" s="4">
        <v>2045000000</v>
      </c>
    </row>
    <row r="23" spans="2:7" x14ac:dyDescent="0.25">
      <c r="B23" s="1" t="s">
        <v>126</v>
      </c>
      <c r="C23" s="4" t="s">
        <v>69</v>
      </c>
      <c r="D23" s="4">
        <v>111101</v>
      </c>
      <c r="E23" s="4" t="s">
        <v>0</v>
      </c>
      <c r="F23" s="12">
        <v>1875768.159</v>
      </c>
      <c r="G23" s="4">
        <v>2051210000</v>
      </c>
    </row>
    <row r="24" spans="2:7" x14ac:dyDescent="0.25">
      <c r="B24" s="1" t="s">
        <v>177</v>
      </c>
      <c r="C24" s="4" t="s">
        <v>69</v>
      </c>
      <c r="D24" s="4">
        <v>111101</v>
      </c>
      <c r="E24" s="4" t="s">
        <v>0</v>
      </c>
      <c r="F24" s="12">
        <v>12593.355</v>
      </c>
      <c r="G24" s="4">
        <v>2051260000</v>
      </c>
    </row>
    <row r="25" spans="2:7" x14ac:dyDescent="0.25">
      <c r="B25" s="1" t="s">
        <v>207</v>
      </c>
      <c r="C25" s="4" t="s">
        <v>21</v>
      </c>
      <c r="D25" s="4" t="s">
        <v>19</v>
      </c>
      <c r="E25" s="4" t="s">
        <v>53</v>
      </c>
      <c r="F25" s="12">
        <v>0</v>
      </c>
      <c r="G25" s="4">
        <v>2060441000</v>
      </c>
    </row>
    <row r="26" spans="2:7" x14ac:dyDescent="0.25">
      <c r="B26" s="1" t="s">
        <v>208</v>
      </c>
      <c r="C26" s="4" t="s">
        <v>21</v>
      </c>
      <c r="D26" s="4">
        <v>111111</v>
      </c>
      <c r="E26" s="4" t="s">
        <v>99</v>
      </c>
      <c r="F26" s="12">
        <v>-1252.8369999999998</v>
      </c>
      <c r="G26" s="4">
        <v>2060441000</v>
      </c>
    </row>
    <row r="27" spans="2:7" x14ac:dyDescent="0.25">
      <c r="B27" s="1" t="s">
        <v>128</v>
      </c>
      <c r="C27" s="4" t="s">
        <v>70</v>
      </c>
      <c r="D27" s="4" t="s">
        <v>3</v>
      </c>
      <c r="E27" s="4" t="s">
        <v>38</v>
      </c>
      <c r="F27" s="12">
        <v>-1418521.358</v>
      </c>
      <c r="G27" s="4">
        <v>2069010000</v>
      </c>
    </row>
    <row r="28" spans="2:7" x14ac:dyDescent="0.25">
      <c r="B28" s="1" t="s">
        <v>179</v>
      </c>
      <c r="C28" s="4" t="s">
        <v>70</v>
      </c>
      <c r="D28" s="4">
        <v>19</v>
      </c>
      <c r="E28" s="4" t="s">
        <v>39</v>
      </c>
      <c r="F28" s="12">
        <v>-622966.38600000006</v>
      </c>
      <c r="G28" s="4">
        <v>2069010000</v>
      </c>
    </row>
    <row r="29" spans="2:7" x14ac:dyDescent="0.25">
      <c r="B29" s="1" t="s">
        <v>180</v>
      </c>
      <c r="C29" s="4" t="s">
        <v>70</v>
      </c>
      <c r="D29" s="4" t="s">
        <v>16</v>
      </c>
      <c r="E29" s="4" t="s">
        <v>49</v>
      </c>
      <c r="F29" s="12">
        <v>0</v>
      </c>
      <c r="G29" s="4">
        <v>2069010000</v>
      </c>
    </row>
    <row r="30" spans="2:7" x14ac:dyDescent="0.25">
      <c r="B30" s="1" t="s">
        <v>181</v>
      </c>
      <c r="C30" s="4" t="s">
        <v>70</v>
      </c>
      <c r="D30" s="4" t="s">
        <v>10</v>
      </c>
      <c r="E30" s="4" t="s">
        <v>45</v>
      </c>
      <c r="F30" s="12">
        <v>0</v>
      </c>
      <c r="G30" s="4">
        <v>2069010000</v>
      </c>
    </row>
    <row r="31" spans="2:7" x14ac:dyDescent="0.25">
      <c r="B31" s="1" t="s">
        <v>132</v>
      </c>
      <c r="C31" s="4" t="s">
        <v>70</v>
      </c>
      <c r="D31" s="4">
        <v>1009</v>
      </c>
      <c r="E31" s="4" t="s">
        <v>33</v>
      </c>
      <c r="F31" s="12">
        <v>0</v>
      </c>
      <c r="G31" s="4">
        <v>2069010000</v>
      </c>
    </row>
    <row r="32" spans="2:7" x14ac:dyDescent="0.25">
      <c r="B32" s="1" t="s">
        <v>133</v>
      </c>
      <c r="C32" s="4" t="s">
        <v>70</v>
      </c>
      <c r="D32" s="4">
        <v>1007</v>
      </c>
      <c r="E32" s="4" t="s">
        <v>35</v>
      </c>
      <c r="F32" s="12">
        <v>0</v>
      </c>
      <c r="G32" s="4">
        <v>2069010000</v>
      </c>
    </row>
    <row r="33" spans="2:7" x14ac:dyDescent="0.25">
      <c r="B33" s="1" t="s">
        <v>134</v>
      </c>
      <c r="C33" s="4" t="s">
        <v>70</v>
      </c>
      <c r="D33" s="4">
        <v>1008</v>
      </c>
      <c r="E33" s="4" t="s">
        <v>37</v>
      </c>
      <c r="F33" s="12">
        <v>0</v>
      </c>
      <c r="G33" s="4">
        <v>2069010000</v>
      </c>
    </row>
    <row r="34" spans="2:7" x14ac:dyDescent="0.25">
      <c r="B34" s="1" t="s">
        <v>135</v>
      </c>
      <c r="C34" s="4" t="s">
        <v>70</v>
      </c>
      <c r="D34" s="4">
        <v>1240</v>
      </c>
      <c r="E34" s="4" t="s">
        <v>42</v>
      </c>
      <c r="F34" s="12">
        <v>0</v>
      </c>
      <c r="G34" s="4">
        <v>2069010000</v>
      </c>
    </row>
    <row r="35" spans="2:7" x14ac:dyDescent="0.25">
      <c r="B35" s="1" t="s">
        <v>209</v>
      </c>
      <c r="C35" s="4" t="s">
        <v>70</v>
      </c>
      <c r="D35" s="4">
        <v>1006</v>
      </c>
      <c r="E35" s="4" t="s">
        <v>52</v>
      </c>
      <c r="F35" s="12">
        <v>0</v>
      </c>
      <c r="G35" s="4">
        <v>2069010000</v>
      </c>
    </row>
    <row r="36" spans="2:7" x14ac:dyDescent="0.25">
      <c r="B36" s="1" t="s">
        <v>133</v>
      </c>
      <c r="C36" s="4" t="s">
        <v>70</v>
      </c>
      <c r="D36" s="4">
        <v>1007</v>
      </c>
      <c r="E36" s="4" t="s">
        <v>36</v>
      </c>
      <c r="F36" s="12">
        <v>0</v>
      </c>
      <c r="G36" s="4">
        <v>2069010000</v>
      </c>
    </row>
    <row r="37" spans="2:7" x14ac:dyDescent="0.25">
      <c r="B37" s="1" t="s">
        <v>182</v>
      </c>
      <c r="C37" s="4" t="s">
        <v>70</v>
      </c>
      <c r="D37" s="4" t="s">
        <v>17</v>
      </c>
      <c r="E37" s="4" t="s">
        <v>50</v>
      </c>
      <c r="F37" s="12">
        <v>-1948832.1429999999</v>
      </c>
      <c r="G37" s="4">
        <v>2069010000</v>
      </c>
    </row>
    <row r="38" spans="2:7" x14ac:dyDescent="0.25">
      <c r="B38" s="1" t="s">
        <v>136</v>
      </c>
      <c r="C38" s="4" t="s">
        <v>70</v>
      </c>
      <c r="D38" s="4">
        <v>111111</v>
      </c>
      <c r="E38" s="4" t="s">
        <v>99</v>
      </c>
      <c r="F38" s="12">
        <v>-902857.84299999999</v>
      </c>
      <c r="G38" s="4">
        <v>2069010000</v>
      </c>
    </row>
    <row r="39" spans="2:7" x14ac:dyDescent="0.25">
      <c r="B39" s="1" t="s">
        <v>210</v>
      </c>
      <c r="C39" s="4" t="s">
        <v>26</v>
      </c>
      <c r="D39" s="4">
        <v>111111</v>
      </c>
      <c r="E39" s="4" t="s">
        <v>99</v>
      </c>
      <c r="F39" s="12">
        <v>-61499.999999999993</v>
      </c>
      <c r="G39" s="4">
        <v>2069020000</v>
      </c>
    </row>
    <row r="40" spans="2:7" x14ac:dyDescent="0.25">
      <c r="B40" s="1" t="s">
        <v>211</v>
      </c>
      <c r="C40" s="4" t="s">
        <v>71</v>
      </c>
      <c r="D40" s="4">
        <v>105</v>
      </c>
      <c r="E40" s="4" t="s">
        <v>31</v>
      </c>
      <c r="F40" s="12">
        <v>-30913.425999999996</v>
      </c>
      <c r="G40" s="4">
        <v>2069980000</v>
      </c>
    </row>
    <row r="41" spans="2:7" x14ac:dyDescent="0.25">
      <c r="B41" s="1" t="s">
        <v>137</v>
      </c>
      <c r="C41" s="4" t="s">
        <v>71</v>
      </c>
      <c r="D41" s="4">
        <v>111111</v>
      </c>
      <c r="E41" s="4" t="s">
        <v>99</v>
      </c>
      <c r="F41" s="12">
        <v>-15872.001999999999</v>
      </c>
      <c r="G41" s="4">
        <v>2069980000</v>
      </c>
    </row>
    <row r="42" spans="2:7" x14ac:dyDescent="0.25">
      <c r="B42" s="1" t="s">
        <v>138</v>
      </c>
      <c r="C42" s="4" t="s">
        <v>72</v>
      </c>
      <c r="D42" s="4">
        <v>111111</v>
      </c>
      <c r="E42" s="4" t="s">
        <v>99</v>
      </c>
      <c r="F42" s="12">
        <v>57.317999999999998</v>
      </c>
      <c r="G42" s="4">
        <v>2070400000</v>
      </c>
    </row>
    <row r="43" spans="2:7" x14ac:dyDescent="0.25">
      <c r="B43" s="1" t="s">
        <v>140</v>
      </c>
      <c r="C43" s="4" t="s">
        <v>73</v>
      </c>
      <c r="D43" s="4">
        <v>111111</v>
      </c>
      <c r="E43" s="4" t="s">
        <v>99</v>
      </c>
      <c r="F43" s="12">
        <v>19198.66</v>
      </c>
      <c r="G43" s="4">
        <v>2070500000</v>
      </c>
    </row>
    <row r="44" spans="2:7" x14ac:dyDescent="0.25">
      <c r="B44" s="1" t="s">
        <v>212</v>
      </c>
      <c r="C44" s="4" t="s">
        <v>74</v>
      </c>
      <c r="D44" s="4">
        <v>105</v>
      </c>
      <c r="E44" s="4" t="s">
        <v>31</v>
      </c>
      <c r="F44" s="12">
        <v>-1423120</v>
      </c>
      <c r="G44" s="4">
        <v>2070600000</v>
      </c>
    </row>
    <row r="45" spans="2:7" x14ac:dyDescent="0.25">
      <c r="B45" s="1" t="s">
        <v>141</v>
      </c>
      <c r="C45" s="4" t="s">
        <v>74</v>
      </c>
      <c r="D45" s="4">
        <v>111111</v>
      </c>
      <c r="E45" s="4" t="s">
        <v>99</v>
      </c>
      <c r="F45" s="12">
        <v>-172933.44899999999</v>
      </c>
      <c r="G45" s="4">
        <v>2070600000</v>
      </c>
    </row>
    <row r="46" spans="2:7" x14ac:dyDescent="0.25">
      <c r="B46" s="1" t="s">
        <v>185</v>
      </c>
      <c r="C46" s="4" t="s">
        <v>75</v>
      </c>
      <c r="D46" s="4">
        <v>105</v>
      </c>
      <c r="E46" s="4" t="s">
        <v>31</v>
      </c>
      <c r="F46" s="12">
        <v>473575.46100000001</v>
      </c>
      <c r="G46" s="4">
        <v>2070900000</v>
      </c>
    </row>
    <row r="47" spans="2:7" x14ac:dyDescent="0.25">
      <c r="B47" s="1" t="s">
        <v>144</v>
      </c>
      <c r="C47" s="4" t="s">
        <v>75</v>
      </c>
      <c r="D47" s="4">
        <v>111111</v>
      </c>
      <c r="E47" s="4" t="s">
        <v>99</v>
      </c>
      <c r="F47" s="12">
        <v>1481408.47</v>
      </c>
      <c r="G47" s="4">
        <v>2070900000</v>
      </c>
    </row>
    <row r="48" spans="2:7" x14ac:dyDescent="0.25">
      <c r="B48" s="1" t="s">
        <v>145</v>
      </c>
      <c r="C48" s="4" t="s">
        <v>7</v>
      </c>
      <c r="D48" s="4">
        <v>111111</v>
      </c>
      <c r="E48" s="4" t="s">
        <v>99</v>
      </c>
      <c r="F48" s="12">
        <v>40048.799999999996</v>
      </c>
      <c r="G48" s="4">
        <v>2071000000</v>
      </c>
    </row>
    <row r="49" spans="2:7" x14ac:dyDescent="0.25">
      <c r="B49" s="1" t="s">
        <v>213</v>
      </c>
      <c r="C49" s="4" t="s">
        <v>76</v>
      </c>
      <c r="D49" s="4">
        <v>88</v>
      </c>
      <c r="E49" s="4" t="s">
        <v>30</v>
      </c>
      <c r="F49" s="12">
        <v>584.66</v>
      </c>
      <c r="G49" s="4">
        <v>2071100000</v>
      </c>
    </row>
    <row r="50" spans="2:7" x14ac:dyDescent="0.25">
      <c r="B50" s="1" t="s">
        <v>146</v>
      </c>
      <c r="C50" s="4" t="s">
        <v>76</v>
      </c>
      <c r="D50" s="4">
        <v>111111</v>
      </c>
      <c r="E50" s="4" t="s">
        <v>99</v>
      </c>
      <c r="F50" s="12">
        <v>64039.82699999999</v>
      </c>
      <c r="G50" s="4">
        <v>2071100000</v>
      </c>
    </row>
    <row r="51" spans="2:7" x14ac:dyDescent="0.25">
      <c r="B51" s="1" t="s">
        <v>214</v>
      </c>
      <c r="C51" s="4" t="s">
        <v>27</v>
      </c>
      <c r="D51" s="4">
        <v>111111</v>
      </c>
      <c r="E51" s="4" t="s">
        <v>99</v>
      </c>
      <c r="F51" s="12">
        <v>1352.9999999999998</v>
      </c>
      <c r="G51" s="4">
        <v>2071209100</v>
      </c>
    </row>
    <row r="52" spans="2:7" x14ac:dyDescent="0.25">
      <c r="B52" s="1" t="s">
        <v>147</v>
      </c>
      <c r="C52" s="4" t="s">
        <v>8</v>
      </c>
      <c r="D52" s="4">
        <v>111111</v>
      </c>
      <c r="E52" s="4" t="s">
        <v>99</v>
      </c>
      <c r="F52" s="12">
        <v>2514431.8869999996</v>
      </c>
      <c r="G52" s="4">
        <v>2071209200</v>
      </c>
    </row>
    <row r="53" spans="2:7" x14ac:dyDescent="0.25">
      <c r="B53" s="1" t="s">
        <v>148</v>
      </c>
      <c r="C53" s="4" t="s">
        <v>77</v>
      </c>
      <c r="D53" s="4">
        <v>111111</v>
      </c>
      <c r="E53" s="4" t="s">
        <v>99</v>
      </c>
      <c r="F53" s="12">
        <v>4194.2999999999993</v>
      </c>
      <c r="G53" s="4">
        <v>2071209400</v>
      </c>
    </row>
    <row r="54" spans="2:7" x14ac:dyDescent="0.25">
      <c r="B54" s="1" t="s">
        <v>149</v>
      </c>
      <c r="C54" s="4" t="s">
        <v>78</v>
      </c>
      <c r="D54" s="4">
        <v>111111</v>
      </c>
      <c r="E54" s="4" t="s">
        <v>99</v>
      </c>
      <c r="F54" s="12">
        <v>106525.708</v>
      </c>
      <c r="G54" s="4">
        <v>2071209500</v>
      </c>
    </row>
    <row r="55" spans="2:7" x14ac:dyDescent="0.25">
      <c r="B55" s="1" t="s">
        <v>150</v>
      </c>
      <c r="C55" s="4" t="s">
        <v>79</v>
      </c>
      <c r="D55" s="4">
        <v>111101</v>
      </c>
      <c r="E55" s="4" t="s">
        <v>0</v>
      </c>
      <c r="F55" s="12">
        <v>109811.284</v>
      </c>
      <c r="G55" s="4">
        <v>2071980000</v>
      </c>
    </row>
    <row r="56" spans="2:7" x14ac:dyDescent="0.25">
      <c r="B56" s="1" t="s">
        <v>151</v>
      </c>
      <c r="C56" s="4" t="s">
        <v>80</v>
      </c>
      <c r="D56" s="4">
        <v>111111</v>
      </c>
      <c r="E56" s="4" t="s">
        <v>99</v>
      </c>
      <c r="F56" s="12">
        <v>61111.483999999997</v>
      </c>
      <c r="G56" s="4">
        <v>2079022000</v>
      </c>
    </row>
    <row r="57" spans="2:7" x14ac:dyDescent="0.25">
      <c r="B57" s="1" t="s">
        <v>194</v>
      </c>
      <c r="C57" s="4" t="s">
        <v>81</v>
      </c>
      <c r="D57" s="4" t="s">
        <v>12</v>
      </c>
      <c r="E57" s="4" t="s">
        <v>34</v>
      </c>
      <c r="F57" s="12">
        <v>0</v>
      </c>
      <c r="G57" s="4">
        <v>2079070000</v>
      </c>
    </row>
    <row r="58" spans="2:7" x14ac:dyDescent="0.25">
      <c r="B58" s="1" t="s">
        <v>152</v>
      </c>
      <c r="C58" s="4" t="s">
        <v>81</v>
      </c>
      <c r="D58" s="4">
        <v>105</v>
      </c>
      <c r="E58" s="4" t="s">
        <v>31</v>
      </c>
      <c r="F58" s="12">
        <v>1684415.2999999998</v>
      </c>
      <c r="G58" s="4">
        <v>2079070000</v>
      </c>
    </row>
    <row r="59" spans="2:7" x14ac:dyDescent="0.25">
      <c r="B59" s="1" t="s">
        <v>153</v>
      </c>
      <c r="C59" s="4" t="s">
        <v>81</v>
      </c>
      <c r="D59" s="4">
        <v>111111</v>
      </c>
      <c r="E59" s="4" t="s">
        <v>99</v>
      </c>
      <c r="F59" s="12">
        <v>575626.2649999999</v>
      </c>
      <c r="G59" s="4">
        <v>2079070000</v>
      </c>
    </row>
    <row r="60" spans="2:7" x14ac:dyDescent="0.25">
      <c r="B60" s="1" t="s">
        <v>195</v>
      </c>
      <c r="C60" s="4" t="s">
        <v>82</v>
      </c>
      <c r="D60" s="4" t="s">
        <v>10</v>
      </c>
      <c r="E60" s="4" t="s">
        <v>45</v>
      </c>
      <c r="F60" s="12">
        <v>0</v>
      </c>
      <c r="G60" s="4">
        <v>2079080000</v>
      </c>
    </row>
    <row r="61" spans="2:7" x14ac:dyDescent="0.25">
      <c r="B61" s="1" t="s">
        <v>155</v>
      </c>
      <c r="C61" s="4" t="s">
        <v>82</v>
      </c>
      <c r="D61" s="4">
        <v>1007</v>
      </c>
      <c r="E61" s="4" t="s">
        <v>36</v>
      </c>
      <c r="F61" s="12">
        <v>0</v>
      </c>
      <c r="G61" s="4">
        <v>2079080000</v>
      </c>
    </row>
    <row r="62" spans="2:7" x14ac:dyDescent="0.25">
      <c r="B62" s="1" t="s">
        <v>196</v>
      </c>
      <c r="C62" s="4" t="s">
        <v>83</v>
      </c>
      <c r="D62" s="4" t="s">
        <v>10</v>
      </c>
      <c r="E62" s="4" t="s">
        <v>45</v>
      </c>
      <c r="F62" s="12">
        <v>0</v>
      </c>
      <c r="G62" s="4">
        <v>2082280000</v>
      </c>
    </row>
    <row r="63" spans="2:7" x14ac:dyDescent="0.25">
      <c r="B63" s="1" t="s">
        <v>157</v>
      </c>
      <c r="C63" s="4" t="s">
        <v>83</v>
      </c>
      <c r="D63" s="4">
        <v>1009</v>
      </c>
      <c r="E63" s="4" t="s">
        <v>33</v>
      </c>
      <c r="F63" s="12">
        <v>0</v>
      </c>
      <c r="G63" s="4">
        <v>2082280000</v>
      </c>
    </row>
    <row r="64" spans="2:7" x14ac:dyDescent="0.25">
      <c r="B64" s="1" t="s">
        <v>158</v>
      </c>
      <c r="C64" s="4" t="s">
        <v>83</v>
      </c>
      <c r="D64" s="4">
        <v>1007</v>
      </c>
      <c r="E64" s="4" t="s">
        <v>35</v>
      </c>
      <c r="F64" s="12">
        <v>0</v>
      </c>
      <c r="G64" s="4">
        <v>2082280000</v>
      </c>
    </row>
    <row r="65" spans="2:7" x14ac:dyDescent="0.25">
      <c r="B65" s="1" t="s">
        <v>159</v>
      </c>
      <c r="C65" s="4" t="s">
        <v>83</v>
      </c>
      <c r="D65" s="4">
        <v>1008</v>
      </c>
      <c r="E65" s="4" t="s">
        <v>37</v>
      </c>
      <c r="F65" s="12">
        <v>0</v>
      </c>
      <c r="G65" s="4">
        <v>2082280000</v>
      </c>
    </row>
    <row r="66" spans="2:7" x14ac:dyDescent="0.25">
      <c r="B66" s="1" t="s">
        <v>160</v>
      </c>
      <c r="C66" s="4" t="s">
        <v>83</v>
      </c>
      <c r="D66" s="4">
        <v>1240</v>
      </c>
      <c r="E66" s="4" t="s">
        <v>42</v>
      </c>
      <c r="F66" s="12">
        <v>0</v>
      </c>
      <c r="G66" s="4">
        <v>2082280000</v>
      </c>
    </row>
    <row r="67" spans="2:7" x14ac:dyDescent="0.25">
      <c r="B67" s="1" t="s">
        <v>197</v>
      </c>
      <c r="C67" s="4" t="s">
        <v>83</v>
      </c>
      <c r="D67" s="4">
        <v>1006</v>
      </c>
      <c r="E67" s="4" t="s">
        <v>52</v>
      </c>
      <c r="F67" s="12">
        <v>0</v>
      </c>
      <c r="G67" s="4">
        <v>2082280000</v>
      </c>
    </row>
    <row r="68" spans="2:7" x14ac:dyDescent="0.25">
      <c r="B68" s="1" t="s">
        <v>161</v>
      </c>
      <c r="C68" s="4" t="s">
        <v>83</v>
      </c>
      <c r="D68" s="4">
        <v>111111</v>
      </c>
      <c r="E68" s="4" t="s">
        <v>99</v>
      </c>
      <c r="F68" s="12">
        <v>-73809.511999999988</v>
      </c>
      <c r="G68" s="4">
        <v>2082280000</v>
      </c>
    </row>
    <row r="69" spans="2:7" x14ac:dyDescent="0.25">
      <c r="B69" s="1" t="s">
        <v>163</v>
      </c>
      <c r="C69" s="4" t="s">
        <v>84</v>
      </c>
      <c r="D69" s="4">
        <v>111101</v>
      </c>
      <c r="E69" s="4" t="s">
        <v>0</v>
      </c>
      <c r="F69" s="12">
        <v>7173.195999999999</v>
      </c>
      <c r="G69" s="4">
        <v>2082208200</v>
      </c>
    </row>
    <row r="70" spans="2:7" x14ac:dyDescent="0.25">
      <c r="B70" s="1" t="s">
        <v>164</v>
      </c>
      <c r="C70" s="4" t="s">
        <v>85</v>
      </c>
      <c r="D70" s="4">
        <v>88</v>
      </c>
      <c r="E70" s="4" t="s">
        <v>30</v>
      </c>
      <c r="F70" s="12">
        <v>2324465.8859999999</v>
      </c>
      <c r="G70" s="4">
        <v>2082214000</v>
      </c>
    </row>
    <row r="71" spans="2:7" x14ac:dyDescent="0.25">
      <c r="B71" s="1" t="s">
        <v>198</v>
      </c>
      <c r="C71" s="4" t="s">
        <v>85</v>
      </c>
      <c r="D71" s="4">
        <v>1007</v>
      </c>
      <c r="E71" s="4" t="s">
        <v>36</v>
      </c>
      <c r="F71" s="12">
        <v>0</v>
      </c>
      <c r="G71" s="4">
        <v>2082214000</v>
      </c>
    </row>
    <row r="72" spans="2:7" x14ac:dyDescent="0.25">
      <c r="B72" s="1" t="s">
        <v>199</v>
      </c>
      <c r="C72" s="4" t="s">
        <v>85</v>
      </c>
      <c r="D72" s="4">
        <v>111111</v>
      </c>
      <c r="E72" s="4" t="s">
        <v>99</v>
      </c>
      <c r="F72" s="12">
        <v>51.454999999999998</v>
      </c>
      <c r="G72" s="4">
        <v>2082214000</v>
      </c>
    </row>
    <row r="73" spans="2:7" x14ac:dyDescent="0.25">
      <c r="B73" s="1" t="s">
        <v>215</v>
      </c>
      <c r="C73" s="4" t="s">
        <v>102</v>
      </c>
      <c r="D73" s="4">
        <v>111101</v>
      </c>
      <c r="E73" s="4" t="s">
        <v>0</v>
      </c>
      <c r="F73" s="12">
        <v>0</v>
      </c>
      <c r="G73" s="4">
        <v>2082110000</v>
      </c>
    </row>
    <row r="74" spans="2:7" x14ac:dyDescent="0.25">
      <c r="B74" s="1" t="s">
        <v>165</v>
      </c>
      <c r="C74" s="4" t="s">
        <v>86</v>
      </c>
      <c r="D74" s="4">
        <v>111101</v>
      </c>
      <c r="E74" s="4" t="s">
        <v>0</v>
      </c>
      <c r="F74" s="12">
        <v>2558.1950000000002</v>
      </c>
      <c r="G74" s="4">
        <v>2091200000</v>
      </c>
    </row>
    <row r="75" spans="2:7" x14ac:dyDescent="0.25">
      <c r="B75" s="1" t="s">
        <v>166</v>
      </c>
      <c r="C75" s="4" t="s">
        <v>87</v>
      </c>
      <c r="D75" s="4">
        <v>111101</v>
      </c>
      <c r="E75" s="4" t="s">
        <v>0</v>
      </c>
      <c r="F75" s="12">
        <v>522710.353</v>
      </c>
      <c r="G75" s="4">
        <v>2091200001</v>
      </c>
    </row>
    <row r="76" spans="2:7" x14ac:dyDescent="0.25">
      <c r="B76" s="1" t="s">
        <v>167</v>
      </c>
      <c r="C76" s="4" t="s">
        <v>88</v>
      </c>
      <c r="D76" s="4">
        <v>111101</v>
      </c>
      <c r="E76" s="4" t="s">
        <v>0</v>
      </c>
      <c r="F76" s="12">
        <v>-160303.52199999997</v>
      </c>
      <c r="G76" s="4">
        <v>2092200000</v>
      </c>
    </row>
    <row r="77" spans="2:7" x14ac:dyDescent="0.25">
      <c r="B77" s="1" t="s">
        <v>216</v>
      </c>
      <c r="C77" s="4" t="s">
        <v>28</v>
      </c>
      <c r="D77" s="4">
        <v>111101</v>
      </c>
      <c r="E77" s="4" t="s">
        <v>0</v>
      </c>
      <c r="F77" s="12">
        <v>0</v>
      </c>
      <c r="G77" s="4">
        <v>2111111997</v>
      </c>
    </row>
    <row r="78" spans="2:7" x14ac:dyDescent="0.25">
      <c r="B78" s="1" t="s">
        <v>202</v>
      </c>
      <c r="C78" s="14" t="s">
        <v>61</v>
      </c>
      <c r="D78" s="14">
        <v>111101</v>
      </c>
      <c r="E78" s="14" t="s">
        <v>0</v>
      </c>
      <c r="F78" s="15">
        <v>-779290.47600000002</v>
      </c>
      <c r="G78" s="14">
        <v>2111111999</v>
      </c>
    </row>
    <row r="79" spans="2:7" x14ac:dyDescent="0.25">
      <c r="D79" s="4"/>
    </row>
    <row r="80" spans="2:7" x14ac:dyDescent="0.25">
      <c r="D80" s="4"/>
    </row>
    <row r="81" spans="4:4" x14ac:dyDescent="0.25">
      <c r="D81" s="4"/>
    </row>
    <row r="82" spans="4:4" x14ac:dyDescent="0.25">
      <c r="D82" s="4"/>
    </row>
    <row r="83" spans="4:4" x14ac:dyDescent="0.25">
      <c r="D83" s="4"/>
    </row>
    <row r="84" spans="4:4" x14ac:dyDescent="0.25">
      <c r="D84" s="4"/>
    </row>
    <row r="85" spans="4:4" x14ac:dyDescent="0.25">
      <c r="D85" s="4"/>
    </row>
    <row r="86" spans="4:4" x14ac:dyDescent="0.25">
      <c r="D86" s="4"/>
    </row>
    <row r="87" spans="4:4" x14ac:dyDescent="0.25">
      <c r="D87" s="4"/>
    </row>
    <row r="88" spans="4:4" x14ac:dyDescent="0.25">
      <c r="D88" s="4"/>
    </row>
    <row r="89" spans="4:4" x14ac:dyDescent="0.25">
      <c r="D89" s="4"/>
    </row>
    <row r="90" spans="4:4" x14ac:dyDescent="0.25">
      <c r="D90" s="4"/>
    </row>
    <row r="91" spans="4:4" x14ac:dyDescent="0.25">
      <c r="D91" s="4"/>
    </row>
    <row r="92" spans="4:4" x14ac:dyDescent="0.25">
      <c r="D92" s="4"/>
    </row>
    <row r="93" spans="4:4" x14ac:dyDescent="0.25">
      <c r="D93" s="4"/>
    </row>
    <row r="94" spans="4:4" x14ac:dyDescent="0.25">
      <c r="D94" s="4"/>
    </row>
    <row r="95" spans="4:4" x14ac:dyDescent="0.25">
      <c r="D95" s="4"/>
    </row>
    <row r="96" spans="4:4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15"/>
  <sheetViews>
    <sheetView topLeftCell="A3" workbookViewId="0">
      <selection activeCell="J4" sqref="J4:J1048576"/>
    </sheetView>
  </sheetViews>
  <sheetFormatPr defaultColWidth="9.125" defaultRowHeight="12" x14ac:dyDescent="0.2"/>
  <cols>
    <col min="1" max="1" width="2" style="1" customWidth="1"/>
    <col min="2" max="2" width="16.375" style="1" customWidth="1"/>
    <col min="3" max="3" width="33.375" style="1" customWidth="1"/>
    <col min="4" max="4" width="14.125" style="1" bestFit="1" customWidth="1"/>
    <col min="5" max="5" width="21.125" style="1" bestFit="1" customWidth="1"/>
    <col min="6" max="8" width="9.875" style="1" bestFit="1" customWidth="1"/>
    <col min="9" max="9" width="2" style="1" customWidth="1"/>
    <col min="10" max="10" width="18.875" style="1" bestFit="1" customWidth="1"/>
    <col min="11" max="16384" width="9.125" style="1"/>
  </cols>
  <sheetData>
    <row r="1" spans="2:10" ht="15.75" x14ac:dyDescent="0.25">
      <c r="B1" s="2" t="s">
        <v>54</v>
      </c>
    </row>
    <row r="3" spans="2:10" ht="12.75" thickBot="1" x14ac:dyDescent="0.25">
      <c r="B3" s="26" t="s">
        <v>111</v>
      </c>
      <c r="C3" s="26" t="s">
        <v>95</v>
      </c>
      <c r="D3" s="26" t="s">
        <v>29</v>
      </c>
      <c r="E3" s="26" t="s">
        <v>96</v>
      </c>
      <c r="F3" s="27" t="s">
        <v>217</v>
      </c>
      <c r="G3" s="27" t="s">
        <v>218</v>
      </c>
      <c r="H3" s="27" t="s">
        <v>219</v>
      </c>
      <c r="J3" s="28" t="s">
        <v>221</v>
      </c>
    </row>
    <row r="4" spans="2:10" x14ac:dyDescent="0.2">
      <c r="B4" s="1" t="s">
        <v>112</v>
      </c>
      <c r="C4" s="1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1" t="s">
        <v>222</v>
      </c>
    </row>
    <row r="5" spans="2:10" x14ac:dyDescent="0.2">
      <c r="B5" s="1" t="s">
        <v>113</v>
      </c>
      <c r="C5" s="1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1" t="s">
        <v>63</v>
      </c>
    </row>
    <row r="6" spans="2:10" x14ac:dyDescent="0.2">
      <c r="B6" s="1" t="s">
        <v>114</v>
      </c>
      <c r="C6" s="1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1" t="s">
        <v>64</v>
      </c>
    </row>
    <row r="7" spans="2:10" x14ac:dyDescent="0.2">
      <c r="B7" s="1" t="s">
        <v>115</v>
      </c>
      <c r="C7" s="1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1" t="s">
        <v>64</v>
      </c>
    </row>
    <row r="8" spans="2:10" x14ac:dyDescent="0.2">
      <c r="B8" s="1" t="s">
        <v>116</v>
      </c>
      <c r="C8" s="1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1" t="s">
        <v>64</v>
      </c>
    </row>
    <row r="9" spans="2:10" x14ac:dyDescent="0.2">
      <c r="B9" s="1" t="s">
        <v>117</v>
      </c>
      <c r="C9" s="1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1" t="s">
        <v>64</v>
      </c>
    </row>
    <row r="10" spans="2:10" x14ac:dyDescent="0.2">
      <c r="B10" s="1" t="s">
        <v>118</v>
      </c>
      <c r="C10" s="1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1" t="s">
        <v>100</v>
      </c>
    </row>
    <row r="11" spans="2:10" x14ac:dyDescent="0.2">
      <c r="B11" s="1" t="s">
        <v>119</v>
      </c>
      <c r="C11" s="1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1" t="s">
        <v>223</v>
      </c>
    </row>
    <row r="12" spans="2:10" x14ac:dyDescent="0.2">
      <c r="B12" s="1" t="s">
        <v>120</v>
      </c>
      <c r="C12" s="1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1" t="s">
        <v>223</v>
      </c>
    </row>
    <row r="13" spans="2:10" x14ac:dyDescent="0.2">
      <c r="B13" s="1" t="s">
        <v>121</v>
      </c>
      <c r="C13" s="1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1" t="s">
        <v>223</v>
      </c>
    </row>
    <row r="14" spans="2:10" x14ac:dyDescent="0.2">
      <c r="B14" s="1" t="s">
        <v>122</v>
      </c>
      <c r="C14" s="1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1" t="s">
        <v>224</v>
      </c>
    </row>
    <row r="15" spans="2:10" x14ac:dyDescent="0.2">
      <c r="B15" s="1" t="s">
        <v>123</v>
      </c>
      <c r="C15" s="1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1" t="s">
        <v>224</v>
      </c>
    </row>
    <row r="16" spans="2:10" x14ac:dyDescent="0.2">
      <c r="B16" s="1" t="s">
        <v>124</v>
      </c>
      <c r="C16" s="1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1" t="s">
        <v>224</v>
      </c>
    </row>
    <row r="17" spans="2:10" x14ac:dyDescent="0.2">
      <c r="B17" s="1" t="s">
        <v>125</v>
      </c>
      <c r="C17" s="1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1" t="s">
        <v>224</v>
      </c>
    </row>
    <row r="18" spans="2:10" x14ac:dyDescent="0.2">
      <c r="B18" s="1" t="s">
        <v>126</v>
      </c>
      <c r="C18" s="1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1" t="s">
        <v>69</v>
      </c>
    </row>
    <row r="19" spans="2:10" x14ac:dyDescent="0.2">
      <c r="B19" s="1" t="s">
        <v>127</v>
      </c>
      <c r="C19" s="1" t="str">
        <f>+VLOOKUP($B19,'1.1 FY2016'!$B$5:$E$61,2,FALSE)</f>
        <v>D&amp;A</v>
      </c>
      <c r="D19" s="4">
        <f>+VLOOKUP($B19,'1.1 FY2016'!$B$5:$E$61,3,FALSE)</f>
        <v>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0</v>
      </c>
      <c r="H19" s="17">
        <f>-SUMIF('1.3 FY2018'!$B:$B,'2.1 Database'!B19,'1.3 FY2018'!$F:$F)</f>
        <v>0</v>
      </c>
      <c r="J19" s="1" t="s">
        <v>69</v>
      </c>
    </row>
    <row r="20" spans="2:10" x14ac:dyDescent="0.2">
      <c r="B20" s="1" t="s">
        <v>128</v>
      </c>
      <c r="C20" s="1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1" t="s">
        <v>225</v>
      </c>
    </row>
    <row r="21" spans="2:10" x14ac:dyDescent="0.2">
      <c r="B21" s="1" t="s">
        <v>129</v>
      </c>
      <c r="C21" s="1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1" t="s">
        <v>225</v>
      </c>
    </row>
    <row r="22" spans="2:10" x14ac:dyDescent="0.2">
      <c r="B22" s="1" t="s">
        <v>130</v>
      </c>
      <c r="C22" s="1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1" t="s">
        <v>225</v>
      </c>
    </row>
    <row r="23" spans="2:10" x14ac:dyDescent="0.2">
      <c r="B23" s="1" t="s">
        <v>131</v>
      </c>
      <c r="C23" s="1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1" t="s">
        <v>225</v>
      </c>
    </row>
    <row r="24" spans="2:10" x14ac:dyDescent="0.2">
      <c r="B24" s="1" t="s">
        <v>132</v>
      </c>
      <c r="C24" s="1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1" t="s">
        <v>225</v>
      </c>
    </row>
    <row r="25" spans="2:10" x14ac:dyDescent="0.2">
      <c r="B25" s="1" t="s">
        <v>133</v>
      </c>
      <c r="C25" s="1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1" t="s">
        <v>225</v>
      </c>
    </row>
    <row r="26" spans="2:10" x14ac:dyDescent="0.2">
      <c r="B26" s="1" t="s">
        <v>134</v>
      </c>
      <c r="C26" s="1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1" t="s">
        <v>225</v>
      </c>
    </row>
    <row r="27" spans="2:10" x14ac:dyDescent="0.2">
      <c r="B27" s="1" t="s">
        <v>135</v>
      </c>
      <c r="C27" s="1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1" t="s">
        <v>225</v>
      </c>
    </row>
    <row r="28" spans="2:10" x14ac:dyDescent="0.2">
      <c r="B28" s="1" t="s">
        <v>136</v>
      </c>
      <c r="C28" s="1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1" t="s">
        <v>225</v>
      </c>
    </row>
    <row r="29" spans="2:10" x14ac:dyDescent="0.2">
      <c r="B29" s="1" t="s">
        <v>137</v>
      </c>
      <c r="C29" s="1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1" t="s">
        <v>71</v>
      </c>
    </row>
    <row r="30" spans="2:10" x14ac:dyDescent="0.2">
      <c r="B30" s="1" t="s">
        <v>138</v>
      </c>
      <c r="C30" s="1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1" t="s">
        <v>223</v>
      </c>
    </row>
    <row r="31" spans="2:10" x14ac:dyDescent="0.2">
      <c r="B31" s="1" t="s">
        <v>139</v>
      </c>
      <c r="C31" s="1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1" t="s">
        <v>223</v>
      </c>
    </row>
    <row r="32" spans="2:10" x14ac:dyDescent="0.2">
      <c r="B32" s="1" t="s">
        <v>140</v>
      </c>
      <c r="C32" s="1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1" t="s">
        <v>223</v>
      </c>
    </row>
    <row r="33" spans="2:10" x14ac:dyDescent="0.2">
      <c r="B33" s="1" t="s">
        <v>141</v>
      </c>
      <c r="C33" s="1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1" t="s">
        <v>226</v>
      </c>
    </row>
    <row r="34" spans="2:10" x14ac:dyDescent="0.2">
      <c r="B34" s="1" t="s">
        <v>142</v>
      </c>
      <c r="C34" s="1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1" t="s">
        <v>227</v>
      </c>
    </row>
    <row r="35" spans="2:10" x14ac:dyDescent="0.2">
      <c r="B35" s="1" t="s">
        <v>143</v>
      </c>
      <c r="C35" s="1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1" t="s">
        <v>227</v>
      </c>
    </row>
    <row r="36" spans="2:10" x14ac:dyDescent="0.2">
      <c r="B36" s="1" t="s">
        <v>144</v>
      </c>
      <c r="C36" s="1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1" t="s">
        <v>227</v>
      </c>
    </row>
    <row r="37" spans="2:10" x14ac:dyDescent="0.2">
      <c r="B37" s="1" t="s">
        <v>145</v>
      </c>
      <c r="C37" s="1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1" t="s">
        <v>223</v>
      </c>
    </row>
    <row r="38" spans="2:10" x14ac:dyDescent="0.2">
      <c r="B38" s="1" t="s">
        <v>146</v>
      </c>
      <c r="C38" s="1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1" t="s">
        <v>223</v>
      </c>
    </row>
    <row r="39" spans="2:10" x14ac:dyDescent="0.2">
      <c r="B39" s="1" t="s">
        <v>147</v>
      </c>
      <c r="C39" s="1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1" t="s">
        <v>228</v>
      </c>
    </row>
    <row r="40" spans="2:10" x14ac:dyDescent="0.2">
      <c r="B40" s="1" t="s">
        <v>148</v>
      </c>
      <c r="C40" s="1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1" t="s">
        <v>223</v>
      </c>
    </row>
    <row r="41" spans="2:10" x14ac:dyDescent="0.2">
      <c r="B41" s="1" t="s">
        <v>149</v>
      </c>
      <c r="C41" s="1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1" t="s">
        <v>223</v>
      </c>
    </row>
    <row r="42" spans="2:10" x14ac:dyDescent="0.2">
      <c r="B42" s="1" t="s">
        <v>150</v>
      </c>
      <c r="C42" s="1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1" t="s">
        <v>223</v>
      </c>
    </row>
    <row r="43" spans="2:10" x14ac:dyDescent="0.2">
      <c r="B43" s="1" t="s">
        <v>151</v>
      </c>
      <c r="C43" s="1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1" t="s">
        <v>223</v>
      </c>
    </row>
    <row r="44" spans="2:10" x14ac:dyDescent="0.2">
      <c r="B44" s="1" t="s">
        <v>152</v>
      </c>
      <c r="C44" s="1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1" t="s">
        <v>223</v>
      </c>
    </row>
    <row r="45" spans="2:10" x14ac:dyDescent="0.2">
      <c r="B45" s="1" t="s">
        <v>153</v>
      </c>
      <c r="C45" s="1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1" t="s">
        <v>223</v>
      </c>
    </row>
    <row r="46" spans="2:10" x14ac:dyDescent="0.2">
      <c r="B46" s="1" t="s">
        <v>154</v>
      </c>
      <c r="C46" s="1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</row>
    <row r="47" spans="2:10" x14ac:dyDescent="0.2">
      <c r="B47" s="1" t="s">
        <v>155</v>
      </c>
      <c r="C47" s="1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</row>
    <row r="48" spans="2:10" x14ac:dyDescent="0.2">
      <c r="B48" s="1" t="s">
        <v>156</v>
      </c>
      <c r="C48" s="1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</row>
    <row r="49" spans="2:10" x14ac:dyDescent="0.2">
      <c r="B49" s="1" t="s">
        <v>157</v>
      </c>
      <c r="C49" s="1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1" t="s">
        <v>229</v>
      </c>
    </row>
    <row r="50" spans="2:10" x14ac:dyDescent="0.2">
      <c r="B50" s="1" t="s">
        <v>158</v>
      </c>
      <c r="C50" s="1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1" t="s">
        <v>229</v>
      </c>
    </row>
    <row r="51" spans="2:10" x14ac:dyDescent="0.2">
      <c r="B51" s="1" t="s">
        <v>159</v>
      </c>
      <c r="C51" s="1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1" t="s">
        <v>229</v>
      </c>
    </row>
    <row r="52" spans="2:10" x14ac:dyDescent="0.2">
      <c r="B52" s="1" t="s">
        <v>160</v>
      </c>
      <c r="C52" s="1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1" t="s">
        <v>229</v>
      </c>
    </row>
    <row r="53" spans="2:10" x14ac:dyDescent="0.2">
      <c r="B53" s="1" t="s">
        <v>161</v>
      </c>
      <c r="C53" s="1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1" t="s">
        <v>229</v>
      </c>
    </row>
    <row r="54" spans="2:10" x14ac:dyDescent="0.2">
      <c r="B54" s="1" t="s">
        <v>162</v>
      </c>
      <c r="C54" s="1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1" t="s">
        <v>64</v>
      </c>
    </row>
    <row r="55" spans="2:10" x14ac:dyDescent="0.2">
      <c r="B55" s="1" t="s">
        <v>163</v>
      </c>
      <c r="C55" s="1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1" t="s">
        <v>230</v>
      </c>
    </row>
    <row r="56" spans="2:10" x14ac:dyDescent="0.2">
      <c r="B56" s="1" t="s">
        <v>164</v>
      </c>
      <c r="C56" s="1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1" t="s">
        <v>229</v>
      </c>
    </row>
    <row r="57" spans="2:10" x14ac:dyDescent="0.2">
      <c r="B57" s="1" t="s">
        <v>165</v>
      </c>
      <c r="C57" s="1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1" t="s">
        <v>231</v>
      </c>
    </row>
    <row r="58" spans="2:10" x14ac:dyDescent="0.2">
      <c r="B58" s="1" t="s">
        <v>166</v>
      </c>
      <c r="C58" s="1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1" t="s">
        <v>231</v>
      </c>
    </row>
    <row r="59" spans="2:10" x14ac:dyDescent="0.2">
      <c r="B59" s="1" t="s">
        <v>167</v>
      </c>
      <c r="C59" s="1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1" t="s">
        <v>231</v>
      </c>
    </row>
    <row r="60" spans="2:10" x14ac:dyDescent="0.2">
      <c r="B60" s="1" t="s">
        <v>168</v>
      </c>
      <c r="C60" s="1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1" t="s">
        <v>232</v>
      </c>
    </row>
    <row r="61" spans="2:10" x14ac:dyDescent="0.2">
      <c r="B61" s="1" t="s">
        <v>169</v>
      </c>
      <c r="C61" s="1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1" t="s">
        <v>233</v>
      </c>
    </row>
    <row r="62" spans="2:10" x14ac:dyDescent="0.2">
      <c r="B62" s="1" t="s">
        <v>170</v>
      </c>
      <c r="C62" s="1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1" t="s">
        <v>64</v>
      </c>
    </row>
    <row r="63" spans="2:10" x14ac:dyDescent="0.2">
      <c r="B63" s="1" t="s">
        <v>171</v>
      </c>
      <c r="C63" s="1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1" t="s">
        <v>223</v>
      </c>
    </row>
    <row r="64" spans="2:10" x14ac:dyDescent="0.2">
      <c r="B64" s="1" t="s">
        <v>172</v>
      </c>
      <c r="C64" s="1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1" t="s">
        <v>223</v>
      </c>
    </row>
    <row r="65" spans="2:10" x14ac:dyDescent="0.2">
      <c r="B65" s="1" t="s">
        <v>173</v>
      </c>
      <c r="C65" s="1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1" t="s">
        <v>223</v>
      </c>
    </row>
    <row r="66" spans="2:10" x14ac:dyDescent="0.2">
      <c r="B66" s="1" t="s">
        <v>174</v>
      </c>
      <c r="C66" s="1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1" t="s">
        <v>223</v>
      </c>
    </row>
    <row r="67" spans="2:10" x14ac:dyDescent="0.2">
      <c r="B67" s="1" t="s">
        <v>175</v>
      </c>
      <c r="C67" s="1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1" t="s">
        <v>223</v>
      </c>
    </row>
    <row r="68" spans="2:10" x14ac:dyDescent="0.2">
      <c r="B68" s="1" t="s">
        <v>176</v>
      </c>
      <c r="C68" s="1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1" t="s">
        <v>224</v>
      </c>
    </row>
    <row r="69" spans="2:10" x14ac:dyDescent="0.2">
      <c r="B69" s="1" t="s">
        <v>177</v>
      </c>
      <c r="C69" s="1" t="str">
        <f>VLOOKUP($B69,'1.2 FY2017'!$B$5:$E$86,2,FALSE)</f>
        <v>D&amp;A</v>
      </c>
      <c r="D69" s="4">
        <f>VLOOKUP($B69,'1.2 FY2017'!$B$5:$E$86,3,FALSE)</f>
        <v>111101</v>
      </c>
      <c r="E69" s="4" t="str">
        <f>VLOOKUP($B69,'1.2 FY2017'!$B$5:$E$86,4,FALSE)</f>
        <v>Not assigned</v>
      </c>
      <c r="F69" s="17">
        <f>-SUMIF('1.1 FY2016'!$B:$B,'2.1 Database'!B69,'1.1 FY2016'!$F:$F)</f>
        <v>0</v>
      </c>
      <c r="G69" s="17">
        <f>-SUMIF('1.2 FY2017'!$B:$B,'2.1 Database'!B69,'1.2 FY2017'!$F:$F)</f>
        <v>-146328.94499999998</v>
      </c>
      <c r="H69" s="17">
        <f>-SUMIF('1.3 FY2018'!$B:$B,'2.1 Database'!B69,'1.3 FY2018'!$F:$F)</f>
        <v>-12593.355</v>
      </c>
      <c r="J69" s="1" t="s">
        <v>69</v>
      </c>
    </row>
    <row r="70" spans="2:10" x14ac:dyDescent="0.2">
      <c r="B70" s="1" t="s">
        <v>178</v>
      </c>
      <c r="C70" s="1" t="str">
        <f>VLOOKUP($B70,'1.2 FY2017'!$B$5:$E$86,2,FALSE)</f>
        <v>Gains from disposal of PP&amp;E</v>
      </c>
      <c r="D70" s="4">
        <f>VLOOKUP($B70,'1.2 FY2017'!$B$5:$E$86,3,FALSE)</f>
        <v>111111</v>
      </c>
      <c r="E70" s="4" t="str">
        <f>VLOOKUP($B70,'1.2 FY2017'!$B$5:$E$86,4,FALSE)</f>
        <v>External</v>
      </c>
      <c r="F70" s="17">
        <f>-SUMIF('1.1 FY2016'!$B:$B,'2.1 Database'!B70,'1.1 FY2016'!$F:$F)</f>
        <v>0</v>
      </c>
      <c r="G70" s="17">
        <f>-SUMIF('1.2 FY2017'!$B:$B,'2.1 Database'!B70,'1.2 FY2017'!$F:$F)</f>
        <v>121553.07499999998</v>
      </c>
      <c r="H70" s="17">
        <f>-SUMIF('1.3 FY2018'!$B:$B,'2.1 Database'!B70,'1.3 FY2018'!$F:$F)</f>
        <v>0</v>
      </c>
      <c r="J70" s="1" t="s">
        <v>230</v>
      </c>
    </row>
    <row r="71" spans="2:10" x14ac:dyDescent="0.2">
      <c r="B71" s="1" t="s">
        <v>179</v>
      </c>
      <c r="C71" s="1" t="str">
        <f>VLOOKUP($B71,'1.2 FY2017'!$B$5:$E$86,2,FALSE)</f>
        <v>Corporate recharges</v>
      </c>
      <c r="D71" s="4">
        <f>VLOOKUP($B71,'1.2 FY2017'!$B$5:$E$86,3,FALSE)</f>
        <v>19</v>
      </c>
      <c r="E71" s="4" t="str">
        <f>VLOOKUP($B71,'1.2 FY2017'!$B$5:$E$86,4,FALSE)</f>
        <v>Generco Cosmetics Ltd</v>
      </c>
      <c r="F71" s="17">
        <f>-SUMIF('1.1 FY2016'!$B:$B,'2.1 Database'!B71,'1.1 FY2016'!$F:$F)</f>
        <v>0</v>
      </c>
      <c r="G71" s="17">
        <f>-SUMIF('1.2 FY2017'!$B:$B,'2.1 Database'!B71,'1.2 FY2017'!$F:$F)</f>
        <v>416278.66</v>
      </c>
      <c r="H71" s="17">
        <f>-SUMIF('1.3 FY2018'!$B:$B,'2.1 Database'!B71,'1.3 FY2018'!$F:$F)</f>
        <v>622966.38600000006</v>
      </c>
      <c r="J71" s="1" t="s">
        <v>225</v>
      </c>
    </row>
    <row r="72" spans="2:10" x14ac:dyDescent="0.2">
      <c r="B72" s="1" t="s">
        <v>180</v>
      </c>
      <c r="C72" s="1" t="str">
        <f>VLOOKUP($B72,'1.2 FY2017'!$B$5:$E$86,2,FALSE)</f>
        <v>Corporate recharges</v>
      </c>
      <c r="D72" s="4" t="str">
        <f>VLOOKUP($B72,'1.2 FY2017'!$B$5:$E$86,3,FALSE)</f>
        <v>1076</v>
      </c>
      <c r="E72" s="4" t="str">
        <f>VLOOKUP($B72,'1.2 FY2017'!$B$5:$E$86,4,FALSE)</f>
        <v>Generco Trading Ltd</v>
      </c>
      <c r="F72" s="17">
        <f>-SUMIF('1.1 FY2016'!$B:$B,'2.1 Database'!B72,'1.1 FY2016'!$F:$F)</f>
        <v>0</v>
      </c>
      <c r="G72" s="17">
        <f>-SUMIF('1.2 FY2017'!$B:$B,'2.1 Database'!B72,'1.2 FY2017'!$F:$F)</f>
        <v>364243.84499999997</v>
      </c>
      <c r="H72" s="17">
        <f>-SUMIF('1.3 FY2018'!$B:$B,'2.1 Database'!B72,'1.3 FY2018'!$F:$F)</f>
        <v>0</v>
      </c>
      <c r="J72" s="1" t="s">
        <v>225</v>
      </c>
    </row>
    <row r="73" spans="2:10" x14ac:dyDescent="0.2">
      <c r="B73" s="1" t="s">
        <v>181</v>
      </c>
      <c r="C73" s="1" t="str">
        <f>VLOOKUP($B73,'1.2 FY2017'!$B$5:$E$86,2,FALSE)</f>
        <v>Corporate recharges</v>
      </c>
      <c r="D73" s="4" t="str">
        <f>VLOOKUP($B73,'1.2 FY2017'!$B$5:$E$86,3,FALSE)</f>
        <v>1086</v>
      </c>
      <c r="E73" s="4" t="str">
        <f>VLOOKUP($B73,'1.2 FY2017'!$B$5:$E$86,4,FALSE)</f>
        <v>G&amp;Resources Ltd</v>
      </c>
      <c r="F73" s="17">
        <f>-SUMIF('1.1 FY2016'!$B:$B,'2.1 Database'!B73,'1.1 FY2016'!$F:$F)</f>
        <v>0</v>
      </c>
      <c r="G73" s="17">
        <f>-SUMIF('1.2 FY2017'!$B:$B,'2.1 Database'!B73,'1.2 FY2017'!$F:$F)</f>
        <v>0</v>
      </c>
      <c r="H73" s="17">
        <f>-SUMIF('1.3 FY2018'!$B:$B,'2.1 Database'!B73,'1.3 FY2018'!$F:$F)</f>
        <v>0</v>
      </c>
      <c r="J73" s="1" t="s">
        <v>225</v>
      </c>
    </row>
    <row r="74" spans="2:10" x14ac:dyDescent="0.2">
      <c r="B74" s="1" t="s">
        <v>182</v>
      </c>
      <c r="C74" s="1" t="str">
        <f>VLOOKUP($B74,'1.2 FY2017'!$B$5:$E$86,2,FALSE)</f>
        <v>Corporate recharges</v>
      </c>
      <c r="D74" s="4" t="str">
        <f>VLOOKUP($B74,'1.2 FY2017'!$B$5:$E$86,3,FALSE)</f>
        <v>47037</v>
      </c>
      <c r="E74" s="4" t="str">
        <f>VLOOKUP($B74,'1.2 FY2017'!$B$5:$E$86,4,FALSE)</f>
        <v>G&amp;CR Global Ltd</v>
      </c>
      <c r="F74" s="17">
        <f>-SUMIF('1.1 FY2016'!$B:$B,'2.1 Database'!B74,'1.1 FY2016'!$F:$F)</f>
        <v>0</v>
      </c>
      <c r="G74" s="17">
        <f>-SUMIF('1.2 FY2017'!$B:$B,'2.1 Database'!B74,'1.2 FY2017'!$F:$F)</f>
        <v>482611.04499999998</v>
      </c>
      <c r="H74" s="17">
        <f>-SUMIF('1.3 FY2018'!$B:$B,'2.1 Database'!B74,'1.3 FY2018'!$F:$F)</f>
        <v>1948832.1429999999</v>
      </c>
      <c r="J74" s="1" t="s">
        <v>225</v>
      </c>
    </row>
    <row r="75" spans="2:10" x14ac:dyDescent="0.2">
      <c r="B75" s="1" t="s">
        <v>183</v>
      </c>
      <c r="C75" s="1" t="str">
        <f>VLOOKUP($B75,'1.2 FY2017'!$B$5:$E$86,2,FALSE)</f>
        <v>Other income</v>
      </c>
      <c r="D75" s="4">
        <f>VLOOKUP($B75,'1.2 FY2017'!$B$5:$E$86,3,FALSE)</f>
        <v>88</v>
      </c>
      <c r="E75" s="4" t="str">
        <f>VLOOKUP($B75,'1.2 FY2017'!$B$5:$E$86,4,FALSE)</f>
        <v>Generco Ltd</v>
      </c>
      <c r="F75" s="17">
        <f>-SUMIF('1.1 FY2016'!$B:$B,'2.1 Database'!B75,'1.1 FY2016'!$F:$F)</f>
        <v>0</v>
      </c>
      <c r="G75" s="17">
        <f>-SUMIF('1.2 FY2017'!$B:$B,'2.1 Database'!B75,'1.2 FY2017'!$F:$F)</f>
        <v>2436.35</v>
      </c>
      <c r="H75" s="17">
        <f>-SUMIF('1.3 FY2018'!$B:$B,'2.1 Database'!B75,'1.3 FY2018'!$F:$F)</f>
        <v>0</v>
      </c>
      <c r="J75" s="1" t="s">
        <v>71</v>
      </c>
    </row>
    <row r="76" spans="2:10" x14ac:dyDescent="0.2">
      <c r="B76" s="1" t="s">
        <v>184</v>
      </c>
      <c r="C76" s="1" t="str">
        <f>VLOOKUP($B76,'1.2 FY2017'!$B$5:$E$86,2,FALSE)</f>
        <v>Concession fees other</v>
      </c>
      <c r="D76" s="4">
        <f>VLOOKUP($B76,'1.2 FY2017'!$B$5:$E$86,3,FALSE)</f>
        <v>111101</v>
      </c>
      <c r="E76" s="4" t="str">
        <f>VLOOKUP($B76,'1.2 FY2017'!$B$5:$E$86,4,FALSE)</f>
        <v>Not assigned</v>
      </c>
      <c r="F76" s="17">
        <f>-SUMIF('1.1 FY2016'!$B:$B,'2.1 Database'!B76,'1.1 FY2016'!$F:$F)</f>
        <v>0</v>
      </c>
      <c r="G76" s="17">
        <f>-SUMIF('1.2 FY2017'!$B:$B,'2.1 Database'!B76,'1.2 FY2017'!$F:$F)</f>
        <v>-81.339999999999989</v>
      </c>
      <c r="H76" s="17">
        <f>-SUMIF('1.3 FY2018'!$B:$B,'2.1 Database'!B76,'1.3 FY2018'!$F:$F)</f>
        <v>0</v>
      </c>
      <c r="J76" s="1" t="s">
        <v>223</v>
      </c>
    </row>
    <row r="77" spans="2:10" x14ac:dyDescent="0.2">
      <c r="B77" s="1" t="s">
        <v>185</v>
      </c>
      <c r="C77" s="1" t="str">
        <f>VLOOKUP($B77,'1.2 FY2017'!$B$5:$E$86,2,FALSE)</f>
        <v>Service expenses</v>
      </c>
      <c r="D77" s="4">
        <f>VLOOKUP($B77,'1.2 FY2017'!$B$5:$E$86,3,FALSE)</f>
        <v>105</v>
      </c>
      <c r="E77" s="4" t="str">
        <f>VLOOKUP($B77,'1.2 FY2017'!$B$5:$E$86,4,FALSE)</f>
        <v>Generco Healthcare Ltd</v>
      </c>
      <c r="F77" s="17">
        <f>-SUMIF('1.1 FY2016'!$B:$B,'2.1 Database'!B77,'1.1 FY2016'!$F:$F)</f>
        <v>0</v>
      </c>
      <c r="G77" s="17">
        <f>-SUMIF('1.2 FY2017'!$B:$B,'2.1 Database'!B77,'1.2 FY2017'!$F:$F)</f>
        <v>-276920</v>
      </c>
      <c r="H77" s="17">
        <f>-SUMIF('1.3 FY2018'!$B:$B,'2.1 Database'!B77,'1.3 FY2018'!$F:$F)</f>
        <v>-473575.46100000001</v>
      </c>
      <c r="J77" s="1" t="s">
        <v>227</v>
      </c>
    </row>
    <row r="78" spans="2:10" x14ac:dyDescent="0.2">
      <c r="B78" s="1" t="s">
        <v>186</v>
      </c>
      <c r="C78" s="1" t="str">
        <f>VLOOKUP($B78,'1.2 FY2017'!$B$5:$E$86,2,FALSE)</f>
        <v>Insurance expenses</v>
      </c>
      <c r="D78" s="4">
        <f>VLOOKUP($B78,'1.2 FY2017'!$B$5:$E$86,3,FALSE)</f>
        <v>1900</v>
      </c>
      <c r="E78" s="4" t="str">
        <f>VLOOKUP($B78,'1.2 FY2017'!$B$5:$E$86,4,FALSE)</f>
        <v>Generco Metals Gm</v>
      </c>
      <c r="F78" s="17">
        <f>-SUMIF('1.1 FY2016'!$B:$B,'2.1 Database'!B78,'1.1 FY2016'!$F:$F)</f>
        <v>0</v>
      </c>
      <c r="G78" s="17">
        <f>-SUMIF('1.2 FY2017'!$B:$B,'2.1 Database'!B78,'1.2 FY2017'!$F:$F)</f>
        <v>0</v>
      </c>
      <c r="H78" s="17">
        <f>-SUMIF('1.3 FY2018'!$B:$B,'2.1 Database'!B78,'1.3 FY2018'!$F:$F)</f>
        <v>0</v>
      </c>
    </row>
    <row r="79" spans="2:10" x14ac:dyDescent="0.2">
      <c r="B79" s="1" t="s">
        <v>187</v>
      </c>
      <c r="C79" s="1" t="str">
        <f>VLOOKUP($B79,'1.2 FY2017'!$B$5:$E$86,2,FALSE)</f>
        <v>Travel expenses</v>
      </c>
      <c r="D79" s="4" t="str">
        <f>VLOOKUP($B79,'1.2 FY2017'!$B$5:$E$86,3,FALSE)</f>
        <v>1118</v>
      </c>
      <c r="E79" s="4" t="str">
        <f>VLOOKUP($B79,'1.2 FY2017'!$B$5:$E$86,4,FALSE)</f>
        <v>Gener Green LLC</v>
      </c>
      <c r="F79" s="17">
        <f>-SUMIF('1.1 FY2016'!$B:$B,'2.1 Database'!B79,'1.1 FY2016'!$F:$F)</f>
        <v>0</v>
      </c>
      <c r="G79" s="17">
        <f>-SUMIF('1.2 FY2017'!$B:$B,'2.1 Database'!B79,'1.2 FY2017'!$F:$F)</f>
        <v>-23928.799999999999</v>
      </c>
      <c r="H79" s="17">
        <f>-SUMIF('1.3 FY2018'!$B:$B,'2.1 Database'!B79,'1.3 FY2018'!$F:$F)</f>
        <v>0</v>
      </c>
      <c r="J79" s="1" t="s">
        <v>223</v>
      </c>
    </row>
    <row r="80" spans="2:10" x14ac:dyDescent="0.2">
      <c r="B80" s="1" t="s">
        <v>188</v>
      </c>
      <c r="C80" s="1" t="str">
        <f>VLOOKUP($B80,'1.2 FY2017'!$B$5:$E$86,2,FALSE)</f>
        <v>Losses fr disposal of PPE</v>
      </c>
      <c r="D80" s="4">
        <f>VLOOKUP($B80,'1.2 FY2017'!$B$5:$E$86,3,FALSE)</f>
        <v>111111</v>
      </c>
      <c r="E80" s="4" t="str">
        <f>VLOOKUP($B80,'1.2 FY2017'!$B$5:$E$86,4,FALSE)</f>
        <v>External</v>
      </c>
      <c r="F80" s="17">
        <f>-SUMIF('1.1 FY2016'!$B:$B,'2.1 Database'!B80,'1.1 FY2016'!$F:$F)</f>
        <v>0</v>
      </c>
      <c r="G80" s="17">
        <f>-SUMIF('1.2 FY2017'!$B:$B,'2.1 Database'!B80,'1.2 FY2017'!$F:$F)</f>
        <v>-308232</v>
      </c>
      <c r="H80" s="17">
        <f>-SUMIF('1.3 FY2018'!$B:$B,'2.1 Database'!B80,'1.3 FY2018'!$F:$F)</f>
        <v>0</v>
      </c>
      <c r="J80" s="1" t="s">
        <v>230</v>
      </c>
    </row>
    <row r="81" spans="2:10" x14ac:dyDescent="0.2">
      <c r="B81" s="1" t="s">
        <v>189</v>
      </c>
      <c r="C81" s="1" t="str">
        <f>VLOOKUP($B81,'1.2 FY2017'!$B$5:$E$86,2,FALSE)</f>
        <v>Other operative currency differences</v>
      </c>
      <c r="D81" s="4">
        <f>VLOOKUP($B81,'1.2 FY2017'!$B$5:$E$86,3,FALSE)</f>
        <v>19</v>
      </c>
      <c r="E81" s="4" t="str">
        <f>VLOOKUP($B81,'1.2 FY2017'!$B$5:$E$86,4,FALSE)</f>
        <v>Generco Cosmetics Ltd</v>
      </c>
      <c r="F81" s="17">
        <f>-SUMIF('1.1 FY2016'!$B:$B,'2.1 Database'!B81,'1.1 FY2016'!$F:$F)</f>
        <v>0</v>
      </c>
      <c r="G81" s="17">
        <f>-SUMIF('1.2 FY2017'!$B:$B,'2.1 Database'!B81,'1.2 FY2017'!$F:$F)</f>
        <v>-13422.779999999999</v>
      </c>
      <c r="H81" s="17">
        <f>-SUMIF('1.3 FY2018'!$B:$B,'2.1 Database'!B81,'1.3 FY2018'!$F:$F)</f>
        <v>0</v>
      </c>
      <c r="J81" s="1" t="s">
        <v>223</v>
      </c>
    </row>
    <row r="82" spans="2:10" x14ac:dyDescent="0.2">
      <c r="B82" s="1" t="s">
        <v>190</v>
      </c>
      <c r="C82" s="1" t="str">
        <f>VLOOKUP($B82,'1.2 FY2017'!$B$5:$E$86,2,FALSE)</f>
        <v>Other operative currency differences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-4045.6150000000002</v>
      </c>
      <c r="H82" s="17">
        <f>-SUMIF('1.3 FY2018'!$B:$B,'2.1 Database'!B82,'1.3 FY2018'!$F:$F)</f>
        <v>0</v>
      </c>
      <c r="J82" s="1" t="s">
        <v>223</v>
      </c>
    </row>
    <row r="83" spans="2:10" x14ac:dyDescent="0.2">
      <c r="B83" s="1" t="s">
        <v>191</v>
      </c>
      <c r="C83" s="1" t="str">
        <f>VLOOKUP($B83,'1.2 FY2017'!$B$5:$E$86,2,FALSE)</f>
        <v>Property tax</v>
      </c>
      <c r="D83" s="4">
        <f>VLOOKUP($B83,'1.2 FY2017'!$B$5:$E$86,3,FALSE)</f>
        <v>111111</v>
      </c>
      <c r="E83" s="4" t="str">
        <f>VLOOKUP($B83,'1.2 FY2017'!$B$5:$E$86,4,FALSE)</f>
        <v>External</v>
      </c>
      <c r="F83" s="17">
        <f>-SUMIF('1.1 FY2016'!$B:$B,'2.1 Database'!B83,'1.1 FY2016'!$F:$F)</f>
        <v>0</v>
      </c>
      <c r="G83" s="17">
        <f>-SUMIF('1.2 FY2017'!$B:$B,'2.1 Database'!B83,'1.2 FY2017'!$F:$F)</f>
        <v>-49621.144999999997</v>
      </c>
      <c r="H83" s="17">
        <f>-SUMIF('1.3 FY2018'!$B:$B,'2.1 Database'!B83,'1.3 FY2018'!$F:$F)</f>
        <v>0</v>
      </c>
      <c r="J83" s="1" t="s">
        <v>223</v>
      </c>
    </row>
    <row r="84" spans="2:10" x14ac:dyDescent="0.2">
      <c r="B84" s="1" t="s">
        <v>192</v>
      </c>
      <c r="C84" s="1" t="str">
        <f>VLOOKUP($B84,'1.2 FY2017'!$B$5:$E$86,2,FALSE)</f>
        <v>Misc extraordinary expenses</v>
      </c>
      <c r="D84" s="4">
        <f>VLOOKUP($B84,'1.2 FY2017'!$B$5:$E$86,3,FALSE)</f>
        <v>19</v>
      </c>
      <c r="E84" s="4" t="str">
        <f>VLOOKUP($B84,'1.2 FY2017'!$B$5:$E$86,4,FALSE)</f>
        <v>Generco Cosmetics Ltd</v>
      </c>
      <c r="F84" s="17">
        <f>-SUMIF('1.1 FY2016'!$B:$B,'2.1 Database'!B84,'1.1 FY2016'!$F:$F)</f>
        <v>0</v>
      </c>
      <c r="G84" s="17">
        <f>-SUMIF('1.2 FY2017'!$B:$B,'2.1 Database'!B84,'1.2 FY2017'!$F:$F)</f>
        <v>-85462.684999999998</v>
      </c>
      <c r="H84" s="17">
        <f>-SUMIF('1.3 FY2018'!$B:$B,'2.1 Database'!B84,'1.3 FY2018'!$F:$F)</f>
        <v>0</v>
      </c>
      <c r="J84" s="1" t="s">
        <v>230</v>
      </c>
    </row>
    <row r="85" spans="2:10" x14ac:dyDescent="0.2">
      <c r="B85" s="1" t="s">
        <v>193</v>
      </c>
      <c r="C85" s="1" t="str">
        <f>VLOOKUP($B85,'1.2 FY2017'!$B$5:$E$86,2,FALSE)</f>
        <v>Misc extraordinary expenses</v>
      </c>
      <c r="D85" s="4" t="str">
        <f>VLOOKUP($B85,'1.2 FY2017'!$B$5:$E$86,3,FALSE)</f>
        <v>43</v>
      </c>
      <c r="E85" s="4" t="str">
        <f>VLOOKUP($B85,'1.2 FY2017'!$B$5:$E$86,4,FALSE)</f>
        <v>Greeny France SL</v>
      </c>
      <c r="F85" s="17">
        <f>-SUMIF('1.1 FY2016'!$B:$B,'2.1 Database'!B85,'1.1 FY2016'!$F:$F)</f>
        <v>0</v>
      </c>
      <c r="G85" s="17">
        <f>-SUMIF('1.2 FY2017'!$B:$B,'2.1 Database'!B85,'1.2 FY2017'!$F:$F)</f>
        <v>-11422.144999999999</v>
      </c>
      <c r="H85" s="17">
        <f>-SUMIF('1.3 FY2018'!$B:$B,'2.1 Database'!B85,'1.3 FY2018'!$F:$F)</f>
        <v>0</v>
      </c>
      <c r="J85" s="1" t="s">
        <v>230</v>
      </c>
    </row>
    <row r="86" spans="2:10" x14ac:dyDescent="0.2">
      <c r="B86" s="1" t="s">
        <v>194</v>
      </c>
      <c r="C86" s="1" t="str">
        <f>VLOOKUP($B86,'1.2 FY2017'!$B$5:$E$86,2,FALSE)</f>
        <v>Misc extraordinary expenses</v>
      </c>
      <c r="D86" s="4" t="str">
        <f>VLOOKUP($B86,'1.2 FY2017'!$B$5:$E$86,3,FALSE)</f>
        <v>1924</v>
      </c>
      <c r="E86" s="4" t="str">
        <f>VLOOKUP($B86,'1.2 FY2017'!$B$5:$E$86,4,FALSE)</f>
        <v>Generco Infrastructure Ltd</v>
      </c>
      <c r="F86" s="17">
        <f>-SUMIF('1.1 FY2016'!$B:$B,'2.1 Database'!B86,'1.1 FY2016'!$F:$F)</f>
        <v>0</v>
      </c>
      <c r="G86" s="17">
        <f>-SUMIF('1.2 FY2017'!$B:$B,'2.1 Database'!B86,'1.2 FY2017'!$F:$F)</f>
        <v>-84438.864999999991</v>
      </c>
      <c r="H86" s="17">
        <f>-SUMIF('1.3 FY2018'!$B:$B,'2.1 Database'!B86,'1.3 FY2018'!$F:$F)</f>
        <v>0</v>
      </c>
      <c r="J86" s="1" t="s">
        <v>230</v>
      </c>
    </row>
    <row r="87" spans="2:10" x14ac:dyDescent="0.2">
      <c r="B87" s="1" t="s">
        <v>195</v>
      </c>
      <c r="C87" s="1" t="str">
        <f>VLOOKUP($B87,'1.2 FY2017'!$B$5:$E$86,2,FALSE)</f>
        <v>Difference from eliminations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</row>
    <row r="88" spans="2:10" x14ac:dyDescent="0.2">
      <c r="B88" s="1" t="s">
        <v>196</v>
      </c>
      <c r="C88" s="1" t="str">
        <f>VLOOKUP($B88,'1.2 FY2017'!$B$5:$E$86,2,FALSE)</f>
        <v>Interest income</v>
      </c>
      <c r="D88" s="4" t="str">
        <f>VLOOKUP($B88,'1.2 FY2017'!$B$5:$E$86,3,FALSE)</f>
        <v>1086</v>
      </c>
      <c r="E88" s="4" t="str">
        <f>VLOOKUP($B88,'1.2 FY2017'!$B$5:$E$86,4,FALSE)</f>
        <v>G&amp;Resources Ltd</v>
      </c>
      <c r="F88" s="17">
        <f>-SUMIF('1.1 FY2016'!$B:$B,'2.1 Database'!B88,'1.1 FY2016'!$F:$F)</f>
        <v>0</v>
      </c>
      <c r="G88" s="17">
        <f>-SUMIF('1.2 FY2017'!$B:$B,'2.1 Database'!B88,'1.2 FY2017'!$F:$F)</f>
        <v>0</v>
      </c>
      <c r="H88" s="17">
        <f>-SUMIF('1.3 FY2018'!$B:$B,'2.1 Database'!B88,'1.3 FY2018'!$F:$F)</f>
        <v>0</v>
      </c>
      <c r="J88" s="1" t="s">
        <v>229</v>
      </c>
    </row>
    <row r="89" spans="2:10" x14ac:dyDescent="0.2">
      <c r="B89" s="1" t="s">
        <v>197</v>
      </c>
      <c r="C89" s="1" t="str">
        <f>VLOOKUP($B89,'1.2 FY2017'!$B$5:$E$86,2,FALSE)</f>
        <v>Interest income</v>
      </c>
      <c r="D89" s="4">
        <f>VLOOKUP($B89,'1.2 FY2017'!$B$5:$E$86,3,FALSE)</f>
        <v>1006</v>
      </c>
      <c r="E89" s="4" t="str">
        <f>VLOOKUP($B89,'1.2 FY2017'!$B$5:$E$86,4,FALSE)</f>
        <v>Generco Mining GmbH</v>
      </c>
      <c r="F89" s="17">
        <f>-SUMIF('1.1 FY2016'!$B:$B,'2.1 Database'!B89,'1.1 FY2016'!$F:$F)</f>
        <v>0</v>
      </c>
      <c r="G89" s="17">
        <f>-SUMIF('1.2 FY2017'!$B:$B,'2.1 Database'!B89,'1.2 FY2017'!$F:$F)</f>
        <v>6778.415</v>
      </c>
      <c r="H89" s="17">
        <f>-SUMIF('1.3 FY2018'!$B:$B,'2.1 Database'!B89,'1.3 FY2018'!$F:$F)</f>
        <v>0</v>
      </c>
      <c r="J89" s="1" t="s">
        <v>229</v>
      </c>
    </row>
    <row r="90" spans="2:10" x14ac:dyDescent="0.2">
      <c r="B90" s="1" t="s">
        <v>198</v>
      </c>
      <c r="C90" s="1" t="str">
        <f>VLOOKUP($B90,'1.2 FY2017'!$B$5:$E$86,2,FALSE)</f>
        <v>Interest expenses</v>
      </c>
      <c r="D90" s="4">
        <f>VLOOKUP($B90,'1.2 FY2017'!$B$5:$E$86,3,FALSE)</f>
        <v>1007</v>
      </c>
      <c r="E90" s="4" t="str">
        <f>VLOOKUP($B90,'1.2 FY2017'!$B$5:$E$86,4,FALSE)</f>
        <v>Generco Semiconductors Ltd</v>
      </c>
      <c r="F90" s="17">
        <f>-SUMIF('1.1 FY2016'!$B:$B,'2.1 Database'!B90,'1.1 FY2016'!$F:$F)</f>
        <v>0</v>
      </c>
      <c r="G90" s="17">
        <f>-SUMIF('1.2 FY2017'!$B:$B,'2.1 Database'!B90,'1.2 FY2017'!$F:$F)</f>
        <v>0</v>
      </c>
      <c r="H90" s="17">
        <f>-SUMIF('1.3 FY2018'!$B:$B,'2.1 Database'!B90,'1.3 FY2018'!$F:$F)</f>
        <v>0</v>
      </c>
      <c r="J90" s="1" t="s">
        <v>229</v>
      </c>
    </row>
    <row r="91" spans="2:10" x14ac:dyDescent="0.2">
      <c r="B91" s="1" t="s">
        <v>199</v>
      </c>
      <c r="C91" s="1" t="str">
        <f>VLOOKUP($B91,'1.2 FY2017'!$B$5:$E$86,2,FALSE)</f>
        <v>Interest expenses</v>
      </c>
      <c r="D91" s="4">
        <f>VLOOKUP($B91,'1.2 FY2017'!$B$5:$E$86,3,FALSE)</f>
        <v>111111</v>
      </c>
      <c r="E91" s="4" t="str">
        <f>VLOOKUP($B91,'1.2 FY2017'!$B$5:$E$86,4,FALSE)</f>
        <v>External</v>
      </c>
      <c r="F91" s="17">
        <f>-SUMIF('1.1 FY2016'!$B:$B,'2.1 Database'!B91,'1.1 FY2016'!$F:$F)</f>
        <v>0</v>
      </c>
      <c r="G91" s="17">
        <f>-SUMIF('1.2 FY2017'!$B:$B,'2.1 Database'!B91,'1.2 FY2017'!$F:$F)</f>
        <v>-1250.7950000000001</v>
      </c>
      <c r="H91" s="17">
        <f>-SUMIF('1.3 FY2018'!$B:$B,'2.1 Database'!B91,'1.3 FY2018'!$F:$F)</f>
        <v>-51.454999999999998</v>
      </c>
      <c r="J91" s="1" t="s">
        <v>229</v>
      </c>
    </row>
    <row r="92" spans="2:10" x14ac:dyDescent="0.2">
      <c r="B92" s="1" t="s">
        <v>200</v>
      </c>
      <c r="C92" s="1" t="str">
        <f>VLOOKUP($B92,'1.2 FY2017'!$B$5:$E$86,2,FALSE)</f>
        <v>Impairment of participation</v>
      </c>
      <c r="D92" s="4">
        <f>VLOOKUP($B92,'1.2 FY2017'!$B$5:$E$86,3,FALSE)</f>
        <v>1240</v>
      </c>
      <c r="E92" s="4" t="str">
        <f>VLOOKUP($B92,'1.2 FY2017'!$B$5:$E$86,4,FALSE)</f>
        <v xml:space="preserve">Generco UK </v>
      </c>
      <c r="F92" s="17">
        <f>-SUMIF('1.1 FY2016'!$B:$B,'2.1 Database'!B92,'1.1 FY2016'!$F:$F)</f>
        <v>0</v>
      </c>
      <c r="G92" s="17">
        <f>-SUMIF('1.2 FY2017'!$B:$B,'2.1 Database'!B92,'1.2 FY2017'!$F:$F)</f>
        <v>-4130000</v>
      </c>
      <c r="H92" s="17">
        <f>-SUMIF('1.3 FY2018'!$B:$B,'2.1 Database'!B92,'1.3 FY2018'!$F:$F)</f>
        <v>0</v>
      </c>
      <c r="J92" s="1" t="s">
        <v>230</v>
      </c>
    </row>
    <row r="93" spans="2:10" x14ac:dyDescent="0.2">
      <c r="B93" s="1" t="s">
        <v>201</v>
      </c>
      <c r="C93" s="1" t="str">
        <f>VLOOKUP($B93,'1.2 FY2017'!$B$5:$E$86,2,FALSE)</f>
        <v>Quarterly changes in current taxes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-SUMIF('1.1 FY2016'!$B:$B,'2.1 Database'!B93,'1.1 FY2016'!$F:$F)</f>
        <v>0</v>
      </c>
      <c r="G93" s="17">
        <f>-SUMIF('1.2 FY2017'!$B:$B,'2.1 Database'!B93,'1.2 FY2017'!$F:$F)</f>
        <v>0</v>
      </c>
      <c r="H93" s="17">
        <f>-SUMIF('1.3 FY2018'!$B:$B,'2.1 Database'!B93,'1.3 FY2018'!$F:$F)</f>
        <v>0</v>
      </c>
    </row>
    <row r="94" spans="2:10" x14ac:dyDescent="0.2">
      <c r="B94" s="1" t="s">
        <v>202</v>
      </c>
      <c r="C94" s="1" t="str">
        <f>VLOOKUP($B94,'1.2 FY2017'!$B$5:$E$86,2,FALSE)</f>
        <v>Net income/(loss)</v>
      </c>
      <c r="D94" s="4">
        <f>VLOOKUP($B94,'1.2 FY2017'!$B$5:$E$86,3,FALSE)</f>
        <v>111101</v>
      </c>
      <c r="E94" s="4" t="str">
        <f>VLOOKUP($B94,'1.2 FY2017'!$B$5:$E$86,4,FALSE)</f>
        <v>Not assigned</v>
      </c>
      <c r="F94" s="17">
        <f>SUMIF('1.1 FY2016'!$B:$B,'2.1 Database'!B94,'1.1 FY2016'!$F:$F)</f>
        <v>0</v>
      </c>
      <c r="G94" s="17">
        <f>SUMIF('1.2 FY2017'!$B:$B,'2.1 Database'!B94,'1.2 FY2017'!$F:$F)</f>
        <v>6073808.1600000001</v>
      </c>
      <c r="H94" s="17">
        <f>SUMIF('1.3 FY2018'!$B:$B,'2.1 Database'!B94,'1.3 FY2018'!$F:$F)</f>
        <v>-779290.47600000002</v>
      </c>
      <c r="J94" s="1" t="s">
        <v>232</v>
      </c>
    </row>
    <row r="95" spans="2:10" x14ac:dyDescent="0.2">
      <c r="B95" s="1" t="s">
        <v>203</v>
      </c>
      <c r="C95" s="1" t="str">
        <f>VLOOKUP($B95,'1.3 FY2018'!$B$5:$E$78,2,FALSE)</f>
        <v>Operating expenses for utilities</v>
      </c>
      <c r="D95" s="4">
        <f>VLOOKUP($B95,'1.3 FY2018'!$B$5:$E$78,3,FALSE)</f>
        <v>111111</v>
      </c>
      <c r="E95" s="4" t="str">
        <f>VLOOKUP($B95,'1.3 FY2018'!$B$5:$E$78,4,FALSE)</f>
        <v>External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-13691.949999999999</v>
      </c>
      <c r="J95" s="1" t="s">
        <v>223</v>
      </c>
    </row>
    <row r="96" spans="2:10" x14ac:dyDescent="0.2">
      <c r="B96" s="1" t="s">
        <v>204</v>
      </c>
      <c r="C96" s="1" t="str">
        <f>VLOOKUP($B96,'1.3 FY2018'!$B$5:$E$78,2,FALSE)</f>
        <v>R&amp;D expenses</v>
      </c>
      <c r="D96" s="4" t="str">
        <f>VLOOKUP($B96,'1.3 FY2018'!$B$5:$E$78,3,FALSE)</f>
        <v>2185</v>
      </c>
      <c r="E96" s="4" t="str">
        <f>VLOOKUP($B96,'1.3 FY2018'!$B$5:$E$78,4,FALSE)</f>
        <v>Generco Green Projects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-192017.14499999996</v>
      </c>
      <c r="J96" s="1" t="s">
        <v>223</v>
      </c>
    </row>
    <row r="97" spans="2:10" x14ac:dyDescent="0.2">
      <c r="B97" s="1" t="s">
        <v>205</v>
      </c>
      <c r="C97" s="1" t="str">
        <f>VLOOKUP($B97,'1.3 FY2018'!$B$5:$E$78,2,FALSE)</f>
        <v>R&amp;D expenses</v>
      </c>
      <c r="D97" s="4" t="str">
        <f>VLOOKUP($B97,'1.3 FY2018'!$B$5:$E$78,3,FALSE)</f>
        <v>2240</v>
      </c>
      <c r="E97" s="4" t="str">
        <f>VLOOKUP($B97,'1.3 FY2018'!$B$5:$E$78,4,FALSE)</f>
        <v>Greeny Germany GmbH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-375290.46599999996</v>
      </c>
      <c r="J97" s="1" t="s">
        <v>223</v>
      </c>
    </row>
    <row r="98" spans="2:10" x14ac:dyDescent="0.2">
      <c r="B98" s="1" t="s">
        <v>206</v>
      </c>
      <c r="C98" s="1" t="str">
        <f>VLOOKUP($B98,'1.3 FY2018'!$B$5:$E$78,2,FALSE)</f>
        <v>R&amp;D expenses</v>
      </c>
      <c r="D98" s="4">
        <f>VLOOKUP($B98,'1.3 FY2018'!$B$5:$E$78,3,FALSE)</f>
        <v>17000</v>
      </c>
      <c r="E98" s="4" t="str">
        <f>VLOOKUP($B98,'1.3 FY2018'!$B$5:$E$78,4,FALSE)</f>
        <v>Generco Risk Management Ltd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-4920</v>
      </c>
      <c r="J98" s="1" t="s">
        <v>223</v>
      </c>
    </row>
    <row r="99" spans="2:10" x14ac:dyDescent="0.2">
      <c r="B99" s="1" t="s">
        <v>207</v>
      </c>
      <c r="C99" s="1" t="str">
        <f>VLOOKUP($B99,'1.3 FY2018'!$B$5:$E$78,2,FALSE)</f>
        <v>Other operative currency differences</v>
      </c>
      <c r="D99" s="4" t="str">
        <f>VLOOKUP($B99,'1.3 FY2018'!$B$5:$E$78,3,FALSE)</f>
        <v>1118</v>
      </c>
      <c r="E99" s="4" t="str">
        <f>VLOOKUP($B99,'1.3 FY2018'!$B$5:$E$78,4,FALSE)</f>
        <v>Gener Green LLC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0</v>
      </c>
      <c r="J99" s="1" t="s">
        <v>223</v>
      </c>
    </row>
    <row r="100" spans="2:10" x14ac:dyDescent="0.2">
      <c r="B100" s="1" t="s">
        <v>208</v>
      </c>
      <c r="C100" s="1" t="str">
        <f>VLOOKUP($B100,'1.3 FY2018'!$B$5:$E$78,2,FALSE)</f>
        <v>Other operative currency differences</v>
      </c>
      <c r="D100" s="4">
        <f>VLOOKUP($B100,'1.3 FY2018'!$B$5:$E$78,3,FALSE)</f>
        <v>111111</v>
      </c>
      <c r="E100" s="4" t="str">
        <f>VLOOKUP($B100,'1.3 FY2018'!$B$5:$E$78,4,FALSE)</f>
        <v>External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1252.8369999999998</v>
      </c>
      <c r="J100" s="1" t="s">
        <v>223</v>
      </c>
    </row>
    <row r="101" spans="2:10" x14ac:dyDescent="0.2">
      <c r="B101" s="1" t="s">
        <v>209</v>
      </c>
      <c r="C101" s="1" t="str">
        <f>VLOOKUP($B101,'1.3 FY2018'!$B$5:$E$78,2,FALSE)</f>
        <v>Corporate recharges</v>
      </c>
      <c r="D101" s="4">
        <f>VLOOKUP($B101,'1.3 FY2018'!$B$5:$E$78,3,FALSE)</f>
        <v>1006</v>
      </c>
      <c r="E101" s="4" t="str">
        <f>VLOOKUP($B101,'1.3 FY2018'!$B$5:$E$78,4,FALSE)</f>
        <v>Generco Mining GmbH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0</v>
      </c>
      <c r="J101" s="1" t="s">
        <v>225</v>
      </c>
    </row>
    <row r="102" spans="2:10" x14ac:dyDescent="0.2">
      <c r="B102" s="1" t="s">
        <v>210</v>
      </c>
      <c r="C102" s="1" t="str">
        <f>VLOOKUP($B102,'1.3 FY2018'!$B$5:$E$78,2,FALSE)</f>
        <v>Reimbursements+compensation for damages</v>
      </c>
      <c r="D102" s="4">
        <f>VLOOKUP($B102,'1.3 FY2018'!$B$5:$E$78,3,FALSE)</f>
        <v>111111</v>
      </c>
      <c r="E102" s="4" t="str">
        <f>VLOOKUP($B102,'1.3 FY2018'!$B$5:$E$78,4,FALSE)</f>
        <v>External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61499.999999999993</v>
      </c>
      <c r="J102" s="1" t="s">
        <v>223</v>
      </c>
    </row>
    <row r="103" spans="2:10" x14ac:dyDescent="0.2">
      <c r="B103" s="1" t="s">
        <v>211</v>
      </c>
      <c r="C103" s="1" t="str">
        <f>VLOOKUP($B103,'1.3 FY2018'!$B$5:$E$78,2,FALSE)</f>
        <v>Other income</v>
      </c>
      <c r="D103" s="4">
        <f>VLOOKUP($B103,'1.3 FY2018'!$B$5:$E$78,3,FALSE)</f>
        <v>105</v>
      </c>
      <c r="E103" s="4" t="str">
        <f>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30913.425999999996</v>
      </c>
      <c r="J103" s="1" t="s">
        <v>71</v>
      </c>
    </row>
    <row r="104" spans="2:10" x14ac:dyDescent="0.2">
      <c r="B104" s="1" t="s">
        <v>212</v>
      </c>
      <c r="C104" s="1" t="str">
        <f>VLOOKUP($B104,'1.3 FY2018'!$B$5:$E$78,2,FALSE)</f>
        <v>Leasings</v>
      </c>
      <c r="D104" s="4">
        <f>VLOOKUP($B104,'1.3 FY2018'!$B$5:$E$78,3,FALSE)</f>
        <v>105</v>
      </c>
      <c r="E104" s="4" t="str">
        <f>VLOOKUP($B104,'1.3 FY2018'!$B$5:$E$78,4,FALSE)</f>
        <v>Generco Healthcare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1423120</v>
      </c>
      <c r="J104" s="1" t="s">
        <v>226</v>
      </c>
    </row>
    <row r="105" spans="2:10" x14ac:dyDescent="0.2">
      <c r="B105" s="1" t="s">
        <v>213</v>
      </c>
      <c r="C105" s="1" t="str">
        <f>VLOOKUP($B105,'1.3 FY2018'!$B$5:$E$78,2,FALSE)</f>
        <v>Insurance expenses</v>
      </c>
      <c r="D105" s="4">
        <f>VLOOKUP($B105,'1.3 FY2018'!$B$5:$E$78,3,FALSE)</f>
        <v>88</v>
      </c>
      <c r="E105" s="4" t="str">
        <f>VLOOKUP($B105,'1.3 FY2018'!$B$5:$E$78,4,FALSE)</f>
        <v>Generco Ltd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-584.66</v>
      </c>
      <c r="J105" s="1" t="s">
        <v>223</v>
      </c>
    </row>
    <row r="106" spans="2:10" x14ac:dyDescent="0.2">
      <c r="B106" s="1" t="s">
        <v>214</v>
      </c>
      <c r="C106" s="1" t="str">
        <f>VLOOKUP($B106,'1.3 FY2018'!$B$5:$E$78,2,FALSE)</f>
        <v>Repairs/Maintenance costs</v>
      </c>
      <c r="D106" s="4">
        <f>VLOOKUP($B106,'1.3 FY2018'!$B$5:$E$78,3,FALSE)</f>
        <v>111111</v>
      </c>
      <c r="E106" s="4" t="str">
        <f>VLOOKUP($B106,'1.3 FY2018'!$B$5:$E$78,4,FALSE)</f>
        <v>External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-1352.9999999999998</v>
      </c>
      <c r="J106" s="1" t="s">
        <v>223</v>
      </c>
    </row>
    <row r="107" spans="2:10" x14ac:dyDescent="0.2">
      <c r="B107" s="1" t="s">
        <v>215</v>
      </c>
      <c r="C107" s="1" t="str">
        <f>VLOOKUP($B107,'1.3 FY2018'!$B$5:$E$78,2,FALSE)</f>
        <v>Impairment of participation</v>
      </c>
      <c r="D107" s="4">
        <f>VLOOKUP($B107,'1.3 FY2018'!$B$5:$E$78,3,FALSE)</f>
        <v>111101</v>
      </c>
      <c r="E107" s="4" t="str">
        <f>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</row>
    <row r="108" spans="2:10" x14ac:dyDescent="0.2">
      <c r="B108" s="1" t="s">
        <v>216</v>
      </c>
      <c r="C108" s="1" t="str">
        <f>VLOOKUP($B108,'1.3 FY2018'!$B$5:$E$78,2,FALSE)</f>
        <v>Offset segments (tech.)</v>
      </c>
      <c r="D108" s="4">
        <f>VLOOKUP($B108,'1.3 FY2018'!$B$5:$E$78,3,FALSE)</f>
        <v>111101</v>
      </c>
      <c r="E108" s="4" t="str">
        <f>VLOOKUP($B108,'1.3 FY2018'!$B$5:$E$78,4,FALSE)</f>
        <v>Not assigned</v>
      </c>
      <c r="F108" s="17">
        <f>-SUMIF('1.1 FY2016'!$B:$B,'2.1 Database'!B108,'1.1 FY2016'!$F:$F)</f>
        <v>0</v>
      </c>
      <c r="G108" s="17">
        <f>-SUMIF('1.2 FY2017'!$B:$B,'2.1 Database'!B108,'1.2 FY2017'!$F:$F)</f>
        <v>0</v>
      </c>
      <c r="H108" s="17">
        <f>-SUMIF('1.3 FY2018'!$B:$B,'2.1 Database'!B108,'1.3 FY2018'!$F:$F)</f>
        <v>0</v>
      </c>
    </row>
    <row r="109" spans="2:10" ht="15" x14ac:dyDescent="0.25">
      <c r="B109"/>
      <c r="C109" s="1" t="s">
        <v>220</v>
      </c>
      <c r="D109" s="1" t="s">
        <v>220</v>
      </c>
      <c r="E109" s="1" t="s">
        <v>220</v>
      </c>
      <c r="F109" s="1" t="s">
        <v>220</v>
      </c>
      <c r="G109" s="1" t="s">
        <v>220</v>
      </c>
      <c r="H109" s="1" t="s">
        <v>220</v>
      </c>
    </row>
    <row r="110" spans="2:10" ht="15" x14ac:dyDescent="0.25">
      <c r="B110"/>
    </row>
    <row r="111" spans="2:10" ht="15" x14ac:dyDescent="0.25">
      <c r="B111"/>
    </row>
    <row r="112" spans="2:10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showGridLines="0" workbookViewId="0"/>
  </sheetViews>
  <sheetFormatPr defaultRowHeight="15" x14ac:dyDescent="0.25"/>
  <cols>
    <col min="1" max="1" width="23.875" bestFit="1" customWidth="1"/>
  </cols>
  <sheetData>
    <row r="1" spans="1:5" ht="28.5" x14ac:dyDescent="0.45">
      <c r="A1" s="29" t="s">
        <v>234</v>
      </c>
    </row>
    <row r="3" spans="1:5" ht="15.75" thickBot="1" x14ac:dyDescent="0.3">
      <c r="A3" s="31" t="s">
        <v>244</v>
      </c>
      <c r="B3" s="30"/>
      <c r="C3" s="30" t="s">
        <v>240</v>
      </c>
      <c r="D3" s="30" t="s">
        <v>241</v>
      </c>
      <c r="E3" s="30" t="s">
        <v>242</v>
      </c>
    </row>
    <row r="4" spans="1:5" ht="15.75" thickTop="1" x14ac:dyDescent="0.25">
      <c r="A4" s="1" t="s">
        <v>222</v>
      </c>
      <c r="C4" s="43">
        <v>14.500341000000001</v>
      </c>
      <c r="D4" s="43">
        <v>16.148295364999999</v>
      </c>
      <c r="E4" s="43">
        <v>15.047803019</v>
      </c>
    </row>
    <row r="5" spans="1:5" x14ac:dyDescent="0.25">
      <c r="A5" s="1" t="s">
        <v>63</v>
      </c>
      <c r="C5" s="43">
        <v>4.7948561920000001</v>
      </c>
      <c r="D5" s="43">
        <v>6.9602176449999993</v>
      </c>
      <c r="E5" s="43">
        <v>6.3736175140000002</v>
      </c>
    </row>
    <row r="6" spans="1:5" ht="15.75" thickBot="1" x14ac:dyDescent="0.3">
      <c r="A6" s="34" t="s">
        <v>225</v>
      </c>
      <c r="B6" s="34"/>
      <c r="C6" s="44">
        <v>3.2200542519999997</v>
      </c>
      <c r="D6" s="44">
        <v>2.9240919949999999</v>
      </c>
      <c r="E6" s="44">
        <v>4.8931777299999997</v>
      </c>
    </row>
    <row r="7" spans="1:5" x14ac:dyDescent="0.25">
      <c r="A7" s="41" t="s">
        <v>235</v>
      </c>
      <c r="C7" s="43">
        <f>SUM(C4:C6)</f>
        <v>22.515251444</v>
      </c>
      <c r="D7" s="43">
        <f t="shared" ref="D7:E7" si="0">SUM(D4:D6)</f>
        <v>26.032605005000001</v>
      </c>
      <c r="E7" s="43">
        <f t="shared" si="0"/>
        <v>26.314598263000001</v>
      </c>
    </row>
    <row r="8" spans="1:5" ht="15.75" thickBot="1" x14ac:dyDescent="0.3">
      <c r="A8" s="34" t="s">
        <v>100</v>
      </c>
      <c r="B8" s="35"/>
      <c r="C8" s="45">
        <f>SUMIF('2.1 Database'!$J:$J,'2.2 P&amp;L statement'!$A8,'2.1 Database'!F:F)/1000000</f>
        <v>-4.4289117640000004</v>
      </c>
      <c r="D8" s="45">
        <f>SUMIF('2.1 Database'!$J:$J,'2.2 P&amp;L statement'!$A8,'2.1 Database'!G:G)/1000000</f>
        <v>-5.4631888250000005</v>
      </c>
      <c r="E8" s="45">
        <f>SUMIF('2.1 Database'!$J:$J,'2.2 P&amp;L statement'!$A8,'2.1 Database'!H:H)/1000000</f>
        <v>-5.6741520669999996</v>
      </c>
    </row>
    <row r="9" spans="1:5" x14ac:dyDescent="0.25">
      <c r="A9" s="1" t="s">
        <v>236</v>
      </c>
      <c r="C9" s="43">
        <v>18.086339680000002</v>
      </c>
      <c r="D9" s="43">
        <v>20.569416180000001</v>
      </c>
      <c r="E9" s="43">
        <v>20.640446195999999</v>
      </c>
    </row>
    <row r="10" spans="1:5" x14ac:dyDescent="0.25">
      <c r="A10" s="1" t="s">
        <v>223</v>
      </c>
      <c r="C10" s="43">
        <f>SUMIF('2.1 Database'!$J:$J,'2.2 P&amp;L statement'!$A10,'2.1 Database'!F:F)/1000000</f>
        <v>-3.3966489799999997</v>
      </c>
      <c r="D10" s="43">
        <f>SUMIF('2.1 Database'!$J:$J,'2.2 P&amp;L statement'!$A10,'2.1 Database'!G:G)/1000000</f>
        <v>-3.7048433449999996</v>
      </c>
      <c r="E10" s="43">
        <f>SUMIF('2.1 Database'!$J:$J,'2.2 P&amp;L statement'!$A10,'2.1 Database'!H:H)/1000000</f>
        <v>-6.6874830379999999</v>
      </c>
    </row>
    <row r="11" spans="1:5" x14ac:dyDescent="0.25">
      <c r="A11" s="1" t="s">
        <v>224</v>
      </c>
      <c r="C11" s="43">
        <f>SUMIF('2.1 Database'!$J:$J,'2.2 P&amp;L statement'!$A11,'2.1 Database'!F:F)/1000000</f>
        <v>-6.17073904</v>
      </c>
      <c r="D11" s="43">
        <f>SUMIF('2.1 Database'!$J:$J,'2.2 P&amp;L statement'!$A11,'2.1 Database'!G:G)/1000000</f>
        <v>-8.0718589449999989</v>
      </c>
      <c r="E11" s="43">
        <f>SUMIF('2.1 Database'!$J:$J,'2.2 P&amp;L statement'!$A11,'2.1 Database'!H:H)/1000000</f>
        <v>-5.8358881759999992</v>
      </c>
    </row>
    <row r="12" spans="1:5" x14ac:dyDescent="0.25">
      <c r="A12" s="1" t="s">
        <v>226</v>
      </c>
      <c r="C12" s="43">
        <f>SUMIF('2.1 Database'!$J:$J,'2.2 P&amp;L statement'!$A12,'2.1 Database'!F:F)/1000000</f>
        <v>-1.127445872</v>
      </c>
      <c r="D12" s="43">
        <f>SUMIF('2.1 Database'!$J:$J,'2.2 P&amp;L statement'!$A12,'2.1 Database'!G:G)/1000000</f>
        <v>-1.0553814750000001</v>
      </c>
      <c r="E12" s="43">
        <f>SUMIF('2.1 Database'!$J:$J,'2.2 P&amp;L statement'!$A12,'2.1 Database'!H:H)/1000000</f>
        <v>1.596053449</v>
      </c>
    </row>
    <row r="13" spans="1:5" x14ac:dyDescent="0.25">
      <c r="A13" s="1" t="s">
        <v>227</v>
      </c>
      <c r="C13" s="43">
        <f>SUMIF('2.1 Database'!$J:$J,'2.2 P&amp;L statement'!$A13,'2.1 Database'!F:F)/1000000</f>
        <v>-2.5430882079999995</v>
      </c>
      <c r="D13" s="43">
        <f>SUMIF('2.1 Database'!$J:$J,'2.2 P&amp;L statement'!$A13,'2.1 Database'!G:G)/1000000</f>
        <v>-1.837786345</v>
      </c>
      <c r="E13" s="43">
        <f>SUMIF('2.1 Database'!$J:$J,'2.2 P&amp;L statement'!$A13,'2.1 Database'!H:H)/1000000</f>
        <v>-1.9549839309999999</v>
      </c>
    </row>
    <row r="14" spans="1:5" x14ac:dyDescent="0.25">
      <c r="A14" s="1" t="s">
        <v>228</v>
      </c>
      <c r="C14" s="43">
        <f>SUMIF('2.1 Database'!$J:$J,'2.2 P&amp;L statement'!$A14,'2.1 Database'!F:F)/1000000</f>
        <v>-1.8135250039999999</v>
      </c>
      <c r="D14" s="43">
        <f>SUMIF('2.1 Database'!$J:$J,'2.2 P&amp;L statement'!$A14,'2.1 Database'!G:G)/1000000</f>
        <v>-2.3932591899999998</v>
      </c>
      <c r="E14" s="43">
        <f>SUMIF('2.1 Database'!$J:$J,'2.2 P&amp;L statement'!$A14,'2.1 Database'!H:H)/1000000</f>
        <v>-2.5144318869999998</v>
      </c>
    </row>
    <row r="15" spans="1:5" x14ac:dyDescent="0.25">
      <c r="A15" s="1" t="s">
        <v>71</v>
      </c>
      <c r="C15" s="43">
        <f>SUMIF('2.1 Database'!$J:$J,'2.2 P&amp;L statement'!$A15,'2.1 Database'!F:F)/1000000</f>
        <v>5.7221999999999995E-5</v>
      </c>
      <c r="D15" s="43">
        <f>SUMIF('2.1 Database'!$J:$J,'2.2 P&amp;L statement'!$A15,'2.1 Database'!G:G)/1000000</f>
        <v>-7.3574899999999995E-3</v>
      </c>
      <c r="E15" s="43">
        <f>SUMIF('2.1 Database'!$J:$J,'2.2 P&amp;L statement'!$A15,'2.1 Database'!H:H)/1000000</f>
        <v>4.678542799999999E-2</v>
      </c>
    </row>
    <row r="16" spans="1:5" ht="15.75" thickBot="1" x14ac:dyDescent="0.3">
      <c r="A16" s="1" t="s">
        <v>64</v>
      </c>
      <c r="C16" s="43">
        <f>SUMIF('2.1 Database'!$J:$J,'2.2 P&amp;L statement'!$A16,'2.1 Database'!F:F)/1000000</f>
        <v>5.2683321979999995</v>
      </c>
      <c r="D16" s="43">
        <f>SUMIF('2.1 Database'!$J:$J,'2.2 P&amp;L statement'!$A16,'2.1 Database'!G:G)/1000000</f>
        <v>0.74482694999999999</v>
      </c>
      <c r="E16" s="43">
        <f>SUMIF('2.1 Database'!$J:$J,'2.2 P&amp;L statement'!$A16,'2.1 Database'!H:H)/1000000</f>
        <v>0</v>
      </c>
    </row>
    <row r="17" spans="1:5" ht="15.75" thickBot="1" x14ac:dyDescent="0.3">
      <c r="A17" s="36" t="s">
        <v>237</v>
      </c>
      <c r="B17" s="37"/>
      <c r="C17" s="46">
        <f>SUM(C9:C16)</f>
        <v>8.3032819960000026</v>
      </c>
      <c r="D17" s="46">
        <f t="shared" ref="D17:E17" si="1">SUM(D9:D16)</f>
        <v>4.2437563400000018</v>
      </c>
      <c r="E17" s="46">
        <f t="shared" si="1"/>
        <v>5.2904980409999993</v>
      </c>
    </row>
    <row r="18" spans="1:5" ht="15.75" thickBot="1" x14ac:dyDescent="0.3">
      <c r="A18" s="38" t="s">
        <v>69</v>
      </c>
      <c r="B18" s="39"/>
      <c r="C18" s="47">
        <f>SUMIF('2.1 Database'!$J:$J,'2.2 P&amp;L statement'!$A18,'2.1 Database'!F:F)/1000000</f>
        <v>-2.045243514</v>
      </c>
      <c r="D18" s="47">
        <f>SUMIF('2.1 Database'!$J:$J,'2.2 P&amp;L statement'!$A18,'2.1 Database'!G:G)/1000000</f>
        <v>-2.0440058150000002</v>
      </c>
      <c r="E18" s="47">
        <f>SUMIF('2.1 Database'!$J:$J,'2.2 P&amp;L statement'!$A18,'2.1 Database'!H:H)/1000000</f>
        <v>-1.8883615140000001</v>
      </c>
    </row>
    <row r="19" spans="1:5" x14ac:dyDescent="0.25">
      <c r="A19" s="41" t="s">
        <v>238</v>
      </c>
      <c r="C19" s="43">
        <f>SUM(C17:C18)</f>
        <v>6.2580384820000026</v>
      </c>
      <c r="D19" s="43">
        <f t="shared" ref="D19:E19" si="2">SUM(D17:D18)</f>
        <v>2.1997505250000016</v>
      </c>
      <c r="E19" s="43">
        <f t="shared" si="2"/>
        <v>3.4021365269999992</v>
      </c>
    </row>
    <row r="20" spans="1:5" x14ac:dyDescent="0.25">
      <c r="A20" s="1" t="s">
        <v>229</v>
      </c>
      <c r="C20" s="43">
        <f>SUMIF('2.1 Database'!$J:$J,'2.2 P&amp;L statement'!$A20,'2.1 Database'!F:F)/1000000</f>
        <v>-2.8426923660000001</v>
      </c>
      <c r="D20" s="43">
        <f>SUMIF('2.1 Database'!$J:$J,'2.2 P&amp;L statement'!$A20,'2.1 Database'!G:G)/1000000</f>
        <v>-2.7107469200000001</v>
      </c>
      <c r="E20" s="43">
        <f>SUMIF('2.1 Database'!$J:$J,'2.2 P&amp;L statement'!$A20,'2.1 Database'!H:H)/1000000</f>
        <v>-2.250707829</v>
      </c>
    </row>
    <row r="21" spans="1:5" ht="15.75" thickBot="1" x14ac:dyDescent="0.3">
      <c r="A21" s="34" t="s">
        <v>230</v>
      </c>
      <c r="B21" s="35"/>
      <c r="C21" s="45">
        <f>SUMIF('2.1 Database'!$J:$J,'2.2 P&amp;L statement'!$A21,'2.1 Database'!F:F)/1000000</f>
        <v>-2.2762999999999999E-2</v>
      </c>
      <c r="D21" s="45">
        <f>SUMIF('2.1 Database'!$J:$J,'2.2 P&amp;L statement'!$A21,'2.1 Database'!G:G)/1000000</f>
        <v>-4.5786198000000002</v>
      </c>
      <c r="E21" s="45">
        <f>SUMIF('2.1 Database'!$J:$J,'2.2 P&amp;L statement'!$A21,'2.1 Database'!H:H)/1000000</f>
        <v>-7.1731959999999989E-3</v>
      </c>
    </row>
    <row r="22" spans="1:5" x14ac:dyDescent="0.25">
      <c r="A22" s="41" t="s">
        <v>239</v>
      </c>
      <c r="C22" s="43">
        <f>SUM(C19:C21)</f>
        <v>3.3925831160000026</v>
      </c>
      <c r="D22" s="43">
        <f t="shared" ref="D22:E22" si="3">SUM(D19:D21)</f>
        <v>-5.0896161949999987</v>
      </c>
      <c r="E22" s="43">
        <f t="shared" si="3"/>
        <v>1.1442555019999991</v>
      </c>
    </row>
    <row r="23" spans="1:5" ht="15.75" thickBot="1" x14ac:dyDescent="0.3">
      <c r="A23" s="32" t="s">
        <v>231</v>
      </c>
      <c r="B23" s="33"/>
      <c r="C23" s="43">
        <f>SUMIF('2.1 Database'!$J:$J,'2.2 P&amp;L statement'!$A23,'2.1 Database'!F:F)/1000000</f>
        <v>-0.48846512199999997</v>
      </c>
      <c r="D23" s="43">
        <f>SUMIF('2.1 Database'!$J:$J,'2.2 P&amp;L statement'!$A23,'2.1 Database'!G:G)/1000000</f>
        <v>-0.98419196500000017</v>
      </c>
      <c r="E23" s="43">
        <f>SUMIF('2.1 Database'!$J:$J,'2.2 P&amp;L statement'!$A23,'2.1 Database'!H:H)/1000000</f>
        <v>-0.36496502599999997</v>
      </c>
    </row>
    <row r="24" spans="1:5" ht="15.75" thickBot="1" x14ac:dyDescent="0.3">
      <c r="A24" s="42" t="s">
        <v>232</v>
      </c>
      <c r="B24" s="40"/>
      <c r="C24" s="48">
        <f>SUM(C22:C23)</f>
        <v>2.9041179940000026</v>
      </c>
      <c r="D24" s="48">
        <f t="shared" ref="D24:E24" si="4">SUM(D22:D23)</f>
        <v>-6.0738081599999987</v>
      </c>
      <c r="E24" s="48">
        <f t="shared" si="4"/>
        <v>0.77929047599999923</v>
      </c>
    </row>
    <row r="27" spans="1:5" x14ac:dyDescent="0.25">
      <c r="A27" s="49" t="s">
        <v>243</v>
      </c>
      <c r="B27" s="50"/>
      <c r="C27" s="50"/>
      <c r="D27" s="50"/>
      <c r="E27" s="50"/>
    </row>
    <row r="28" spans="1:5" x14ac:dyDescent="0.25">
      <c r="A28" s="49" t="s">
        <v>236</v>
      </c>
      <c r="B28" s="50"/>
      <c r="C28" s="51">
        <v>0.80329281353949789</v>
      </c>
      <c r="D28" s="51">
        <v>0.79014052477841912</v>
      </c>
      <c r="E28" s="51">
        <v>0.78437246085651935</v>
      </c>
    </row>
    <row r="29" spans="1:5" x14ac:dyDescent="0.25">
      <c r="A29" s="49" t="s">
        <v>237</v>
      </c>
      <c r="B29" s="50"/>
      <c r="C29" s="51">
        <f>C17/C$7</f>
        <v>0.36878477758296191</v>
      </c>
      <c r="D29" s="51">
        <f t="shared" ref="D29:E29" si="5">D17/D$7</f>
        <v>0.16301696811306118</v>
      </c>
      <c r="E29" s="51">
        <f t="shared" si="5"/>
        <v>0.20104802619916018</v>
      </c>
    </row>
    <row r="30" spans="1:5" x14ac:dyDescent="0.25">
      <c r="A30" s="49" t="s">
        <v>237</v>
      </c>
      <c r="B30" s="50"/>
      <c r="C30" s="51">
        <f>C19/C$7</f>
        <v>0.2779466397506159</v>
      </c>
      <c r="D30" s="51">
        <f t="shared" ref="D30:E30" si="6">D19/D$7</f>
        <v>8.4499823378317393E-2</v>
      </c>
      <c r="E30" s="51">
        <f t="shared" si="6"/>
        <v>0.12928704033394345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workbookViewId="0">
      <selection activeCell="C14" sqref="C14"/>
    </sheetView>
  </sheetViews>
  <sheetFormatPr defaultRowHeight="15" x14ac:dyDescent="0.25"/>
  <cols>
    <col min="1" max="1" width="18.75" bestFit="1" customWidth="1"/>
  </cols>
  <sheetData>
    <row r="1" spans="1:5" ht="21" x14ac:dyDescent="0.35">
      <c r="A1" s="52" t="s">
        <v>245</v>
      </c>
    </row>
    <row r="3" spans="1:5" ht="15.75" x14ac:dyDescent="0.25">
      <c r="A3" s="53"/>
      <c r="B3" s="53"/>
      <c r="C3" s="53" t="s">
        <v>240</v>
      </c>
      <c r="D3" s="53" t="s">
        <v>241</v>
      </c>
      <c r="E3" s="53" t="s">
        <v>242</v>
      </c>
    </row>
    <row r="4" spans="1:5" x14ac:dyDescent="0.25">
      <c r="A4" s="54" t="s">
        <v>222</v>
      </c>
      <c r="B4" s="54"/>
      <c r="C4" s="55">
        <v>14.500341000000001</v>
      </c>
      <c r="D4" s="55">
        <v>16.148295364999999</v>
      </c>
      <c r="E4" s="55">
        <v>15.047803019</v>
      </c>
    </row>
    <row r="5" spans="1:5" x14ac:dyDescent="0.25">
      <c r="A5" s="54" t="s">
        <v>63</v>
      </c>
      <c r="B5" s="54"/>
      <c r="C5" s="55">
        <v>4.7948561920000001</v>
      </c>
      <c r="D5" s="55">
        <v>6.9602176449999993</v>
      </c>
      <c r="E5" s="55">
        <v>6.3736175140000002</v>
      </c>
    </row>
    <row r="6" spans="1:5" x14ac:dyDescent="0.25">
      <c r="A6" s="54" t="s">
        <v>225</v>
      </c>
      <c r="B6" s="54"/>
      <c r="C6" s="55">
        <v>3.2200542519999997</v>
      </c>
      <c r="D6" s="55">
        <v>2.9240919949999999</v>
      </c>
      <c r="E6" s="55">
        <v>4.8931777299999997</v>
      </c>
    </row>
    <row r="7" spans="1:5" x14ac:dyDescent="0.25">
      <c r="A7" s="54" t="s">
        <v>236</v>
      </c>
      <c r="B7" s="54"/>
      <c r="C7" s="56">
        <v>0.80329281353949789</v>
      </c>
      <c r="D7" s="56">
        <v>0.79014052477841912</v>
      </c>
      <c r="E7" s="56">
        <v>0.78437246085651935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6"/>
  <sheetViews>
    <sheetView workbookViewId="0">
      <selection activeCell="N4" sqref="N4"/>
    </sheetView>
  </sheetViews>
  <sheetFormatPr defaultRowHeight="15" x14ac:dyDescent="0.25"/>
  <cols>
    <col min="1" max="1" width="11.375" bestFit="1" customWidth="1"/>
    <col min="14" max="14" width="10.875" bestFit="1" customWidth="1"/>
  </cols>
  <sheetData>
    <row r="3" spans="1:5" ht="15.75" x14ac:dyDescent="0.25">
      <c r="A3" s="53"/>
      <c r="B3" s="53"/>
      <c r="C3" s="53" t="s">
        <v>240</v>
      </c>
      <c r="D3" s="53" t="s">
        <v>241</v>
      </c>
      <c r="E3" s="53" t="s">
        <v>242</v>
      </c>
    </row>
    <row r="4" spans="1:5" x14ac:dyDescent="0.25">
      <c r="A4" s="54" t="s">
        <v>222</v>
      </c>
      <c r="B4" s="54"/>
      <c r="C4" s="55">
        <v>14.500341000000001</v>
      </c>
      <c r="D4" s="55">
        <v>16.148295364999999</v>
      </c>
      <c r="E4" s="55">
        <v>15.047803019</v>
      </c>
    </row>
    <row r="5" spans="1:5" x14ac:dyDescent="0.25">
      <c r="A5" s="54" t="s">
        <v>63</v>
      </c>
      <c r="B5" s="54"/>
      <c r="C5" s="55">
        <v>4.7948561920000001</v>
      </c>
      <c r="D5" s="55">
        <v>6.9602176449999993</v>
      </c>
      <c r="E5" s="55">
        <v>6.3736175140000002</v>
      </c>
    </row>
    <row r="6" spans="1:5" x14ac:dyDescent="0.25">
      <c r="A6" s="54" t="s">
        <v>225</v>
      </c>
      <c r="B6" s="54"/>
      <c r="C6" s="55">
        <v>3.2200542519999997</v>
      </c>
      <c r="D6" s="55">
        <v>2.9240919949999999</v>
      </c>
      <c r="E6" s="55">
        <v>4.8931777299999997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5"/>
  <sheetViews>
    <sheetView workbookViewId="0">
      <selection activeCell="D13" sqref="D13"/>
    </sheetView>
  </sheetViews>
  <sheetFormatPr defaultRowHeight="15" x14ac:dyDescent="0.25"/>
  <sheetData>
    <row r="3" spans="1:5" ht="15.75" x14ac:dyDescent="0.25">
      <c r="A3" s="53"/>
      <c r="B3" s="53"/>
      <c r="C3" s="53" t="s">
        <v>240</v>
      </c>
      <c r="D3" s="53" t="s">
        <v>241</v>
      </c>
      <c r="E3" s="53" t="s">
        <v>242</v>
      </c>
    </row>
    <row r="4" spans="1:5" x14ac:dyDescent="0.25">
      <c r="A4" s="54" t="s">
        <v>246</v>
      </c>
      <c r="B4" s="54"/>
      <c r="C4" s="55">
        <v>4.7948561920000001</v>
      </c>
      <c r="D4" s="55">
        <v>6.9602176449999993</v>
      </c>
      <c r="E4" s="55">
        <v>6.3736175140000002</v>
      </c>
    </row>
    <row r="5" spans="1:5" x14ac:dyDescent="0.25">
      <c r="A5" s="54" t="s">
        <v>236</v>
      </c>
      <c r="B5" s="54"/>
      <c r="C5" s="56">
        <v>0.80329281353949789</v>
      </c>
      <c r="D5" s="56">
        <v>0.79014052477841912</v>
      </c>
      <c r="E5" s="56">
        <v>0.78437246085651935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1.1 FY2016</vt:lpstr>
      <vt:lpstr>1.2 FY2017</vt:lpstr>
      <vt:lpstr>1.3 FY2018</vt:lpstr>
      <vt:lpstr>2.1 Database</vt:lpstr>
      <vt:lpstr>2.2 P&amp;L statement</vt:lpstr>
      <vt:lpstr>Stacked column</vt:lpstr>
      <vt:lpstr>Dougnut chart</vt:lpstr>
      <vt:lpstr>Area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2024-07-14T18:15:15Z</dcterms:modified>
</cp:coreProperties>
</file>